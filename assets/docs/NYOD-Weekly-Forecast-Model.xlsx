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ssumptions &amp; Log" sheetId="2" state="visible" r:id="rId4"/>
    <sheet name="Monthly Engine" sheetId="3" state="visible" r:id="rId5"/>
    <sheet name="Weekly Rollout" sheetId="4" state="visible" r:id="rId6"/>
    <sheet name="Monthly Rollup &amp; Cash" sheetId="5" state="visible" r:id="rId7"/>
    <sheet name="Scenario Comparison" sheetId="6" state="visible" r:id="rId8"/>
    <sheet name="Sensitivit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<sst xmlns="http://schemas.openxmlformats.org/spreadsheetml/2006/main" count="500" uniqueCount="398">
  <si>
    <t xml:space="preserve">NYOD — GTM &amp; Weekly Forecast Model (Jul 2026 – Jun 2027)</t>
  </si>
  <si>
    <t xml:space="preserve">Built for: The NYOD GTM Challenge (₹2.5L → ₹1cr MRR in 12 months)</t>
  </si>
  <si>
    <t xml:space="preserve">HOW THIS WORKBOOK IS ORGANISED</t>
  </si>
  <si>
    <t xml:space="preserve">1. Assumptions &amp; Log — every driver, its Base/Bull/Bear value, and the rationale. Change the scenario switch (cell C3) to Base, Bull or Bear and the entire model recalculates.</t>
  </si>
  <si>
    <t xml:space="preserve">2. Monthly Engine — the driver tree: spend → CAC → orders → repeat/subscription → revenue → cans → CM1/CM2 → EBITDA → cash, one column per month, fully formula-linked to Assumptions.</t>
  </si>
  <si>
    <t xml:space="preserve">3. Weekly Rollout — 52 weekly rows (Jul 1, 2026 – Jun 29, 2027). Each week = its month's Monthly Engine total x a within-month weight (weights sum to 1, so weekly rows always tie back to the monthly engine exactly).</t>
  </si>
  <si>
    <t xml:space="preserve">4. Monthly Rollup &amp; Cash — the path to Rs 1cr MRR, capacity vs cans required, batch orders, and the running cash balance against the Rs 5L covenant floor.</t>
  </si>
  <si>
    <t xml:space="preserve">5. Scenario Comparison — Base / Bull / Bear side-by-side (computed by running the engine under each scenario). Reference snapshot; recreate live by switching the toggle on the Assumptions tab.</t>
  </si>
  <si>
    <t xml:space="preserve">6. Sensitivity — Month-12 revenue sensitivity to the 3 assumptions the outcome is most exposed to.</t>
  </si>
  <si>
    <t xml:space="preserve">KEY MODELLING CHOICES (see Assumptions &amp; Log tab for full detail + rationale):</t>
  </si>
  <si>
    <t xml:space="preserve">- Weekly rows disaggregate monthly cohort/subscription dynamics evenly across the weeks of a month; only new-customer acquisition (paid+organic) carries week-specific nudges for named calendar events (Diwali week, New Year gut-health spike week).</t>
  </si>
  <si>
    <t xml:space="preserve">- 'MRR' = monthly net revenue run-rate, per the founders' usage (brief, Sec 9). Only Subscribe &amp; Save is contractually recurring; this is called out wherever relevant.</t>
  </si>
  <si>
    <t xml:space="preserve">- All figures are net of GST, consistent with the data pack.</t>
  </si>
  <si>
    <t xml:space="preserve">- Blue text = hardcoded input/assumption. Black = formula. Green = cross-sheet link.</t>
  </si>
  <si>
    <t xml:space="preserve">ASSUMPTIONS, SCENARIO SWITCH &amp; ASSUMPTION LOG</t>
  </si>
  <si>
    <t xml:space="preserve">SCENARIO SWITCH:</t>
  </si>
  <si>
    <t xml:space="preserve">Base</t>
  </si>
  <si>
    <t xml:space="preserve">&lt;- change this cell to Base / Bull / Bear. Everything downstream recalculates.</t>
  </si>
  <si>
    <t xml:space="preserve">Key</t>
  </si>
  <si>
    <t xml:space="preserve">Driver / Assumption</t>
  </si>
  <si>
    <t xml:space="preserve">Bull</t>
  </si>
  <si>
    <t xml:space="preserve">Bear</t>
  </si>
  <si>
    <t xml:space="preserve">Active</t>
  </si>
  <si>
    <t xml:space="preserve">Rationale</t>
  </si>
  <si>
    <t xml:space="preserve">Source / Basis</t>
  </si>
  <si>
    <t xml:space="preserve">cash0</t>
  </si>
  <si>
    <t xml:space="preserve">Opening cash, Jul 1 2026 (₹)</t>
  </si>
  <si>
    <t xml:space="preserve">Founders' cash position at close of the data-pack period.</t>
  </si>
  <si>
    <t xml:space="preserve">Data pack: Financial Position, Jun 30 2026</t>
  </si>
  <si>
    <t xml:space="preserve">cac0</t>
  </si>
  <si>
    <t xml:space="preserve">Opening blended paid CAC, Jul 2026 (₹)</t>
  </si>
  <si>
    <t xml:space="preserve">June actual blended paid CAC (Meta+Google spend ÷ Meta+Google last-click orders).</t>
  </si>
  <si>
    <t xml:space="preserve">Data pack: Channel Performance, June 2026</t>
  </si>
  <si>
    <t xml:space="preserve">cum_cust0</t>
  </si>
  <si>
    <t xml:space="preserve">Cumulative D2C customers as of Jun 30, 2026</t>
  </si>
  <si>
    <t xml:space="preserve">May cohort (223) + June new customers (265).</t>
  </si>
  <si>
    <t xml:space="preserve">Data pack: Retention &amp; Subs</t>
  </si>
  <si>
    <t xml:space="preserve">subs0</t>
  </si>
  <si>
    <t xml:space="preserve">Active subscribers, Jun 30 2026</t>
  </si>
  <si>
    <t xml:space="preserve">Given directly.</t>
  </si>
  <si>
    <t xml:space="preserve">capacity0</t>
  </si>
  <si>
    <t xml:space="preserve">Starting capacity ceiling (cans/month)</t>
  </si>
  <si>
    <t xml:space="preserve">Co-packer MOQ 24,000/batch x 2 batches/month max on current line.</t>
  </si>
  <si>
    <t xml:space="preserve">Founder Notes #10</t>
  </si>
  <si>
    <t xml:space="preserve">paid_spend0</t>
  </si>
  <si>
    <t xml:space="preserve">Opening monthly paid spend, Jul-26 (₹)</t>
  </si>
  <si>
    <t xml:space="preserve">Base holds spend growth close to June's trajectory; Bull front-loads spend assuming a Q3 funding top-up is likely; Bear assumes founders get cautious after a weak July.</t>
  </si>
  <si>
    <t xml:space="preserve">paid_g_hi</t>
  </si>
  <si>
    <t xml:space="preserve">Monthly paid-spend growth, high-demand months</t>
  </si>
  <si>
    <t xml:space="preserve">Applied in months where the seasonality index &gt;= June-2026 reference (festive/summer). Bull pushes harder into tailwind months; Bear conserves cash.</t>
  </si>
  <si>
    <t xml:space="preserve">Derived: May-&gt;Jun Meta+Google spend grew +47% WoW-ish during scale-up; tapered down for realism post fund-constrained periods.</t>
  </si>
  <si>
    <t xml:space="preserve">paid_g_lo</t>
  </si>
  <si>
    <t xml:space="preserve">Monthly paid-spend growth, low-demand months</t>
  </si>
  <si>
    <t xml:space="preserve">Applied Jul-Sep monsoon and Dec-Feb winter troughs — spend still grows (new creative, retargeting) but far slower than peak season.</t>
  </si>
  <si>
    <t xml:space="preserve">cac_drift</t>
  </si>
  <si>
    <t xml:space="preserve">Structural monthly CAC inflation (pre-relief)</t>
  </si>
  <si>
    <t xml:space="preserve">Reflects rising CPMs/frequency on a single-creative Meta account (May-&gt;Jun CAC actually rose from ₹448-&gt;536, +19.7% in one month) and increasing competitive intensity in the RTD/functional-drinks category.</t>
  </si>
  <si>
    <t xml:space="preserve">Data pack: Channel Performance MoM CAC; Founder Notes #8 (CPM +22%, frequency 3.8)</t>
  </si>
  <si>
    <t xml:space="preserve">cac_relief_m</t>
  </si>
  <si>
    <t xml:space="preserve">Month index (0=Jul-26) when creative-refresh programme lands</t>
  </si>
  <si>
    <t xml:space="preserve">A dedicated content/creative hire (see hiring plan) is assumed to break the single-creative fatigue loop. Bull hires faster; Bear delays because of cash stress.</t>
  </si>
  <si>
    <t xml:space="preserve">cac_relief</t>
  </si>
  <si>
    <t xml:space="preserve">Structural monthly CAC inflation, post-relief</t>
  </si>
  <si>
    <t xml:space="preserve">Even with more creative throughput, category CPCs keep rising as more D2C brands enter; relief only partially offsets drift.</t>
  </si>
  <si>
    <t xml:space="preserve">referral_rate</t>
  </si>
  <si>
    <t xml:space="preserve">Monthly organic referrals as % of cumulative customer base</t>
  </si>
  <si>
    <t xml:space="preserve">Organic (non-paid, non-content) orders = referral_rate x cumulative customers, i.e. a WOM/network effect that compounds as the customer base grows. Calibrated so June's actual organic share (103 of 303 orders, ~34%) is the starting order of magnitude, then let it compound.</t>
  </si>
  <si>
    <t xml:space="preserve">Data pack: Channel Performance (Organic+Direct+SEO+CRM = 103 of 303 June orders)</t>
  </si>
  <si>
    <t xml:space="preserve">content_baseline</t>
  </si>
  <si>
    <t xml:space="preserve">Baseline monthly organic/content orders (demand-adjusted)</t>
  </si>
  <si>
    <t xml:space="preserve">SEO, content and CRM-driven orders that don't scale off the referral network effect — floor demand independent of paid spend.</t>
  </si>
  <si>
    <t xml:space="preserve">repeat_prob_start</t>
  </si>
  <si>
    <t xml:space="preserve">Monthly repeat-purchase probability, Jul-26</t>
  </si>
  <si>
    <t xml:space="preserve">Applied to the pool of customers acquired 1-2 months prior (D2C repeat cohort, excluding subscribers). May-cohort actuals show 15.2% repurchased within ~45 days — used as the anchor.</t>
  </si>
  <si>
    <t xml:space="preserve">Data pack: Retention &amp; Subs (May cohort, 15.2% repurchase by Jun 30, avg 26 days to 2nd order)</t>
  </si>
  <si>
    <t xml:space="preserve">repeat_prob_end</t>
  </si>
  <si>
    <t xml:space="preserve">Monthly repeat-purchase probability, Jun-27</t>
  </si>
  <si>
    <t xml:space="preserve">Assumes lifecycle email/WhatsApp flows, loyalty perks and better PDP trust signals lift repeat behaviour over 12 months — a common D2C trajectory as retention programmes mature.</t>
  </si>
  <si>
    <t xml:space="preserve">sub_share_start</t>
  </si>
  <si>
    <t xml:space="preserve">Share of new customers opting into Subscribe&amp;Save, Jul-26</t>
  </si>
  <si>
    <t xml:space="preserve">June actual was already 8% of orders within 3 weeks of launch (Jun 10). Assume slight uptick as it becomes a default checkout nudge.</t>
  </si>
  <si>
    <t xml:space="preserve">Data pack: Retention &amp; Subs (8% of June orders)</t>
  </si>
  <si>
    <t xml:space="preserve">sub_share_end</t>
  </si>
  <si>
    <t xml:space="preserve">Share of new customers opting into Subscribe&amp;Save, Jun-27</t>
  </si>
  <si>
    <t xml:space="preserve">Assumes active pack-architecture/pricing nudges toward subscription (10% discount + convenience) become a core PLG lever.</t>
  </si>
  <si>
    <t xml:space="preserve">sub_renewal</t>
  </si>
  <si>
    <t xml:space="preserve">Monthly subscription renewal rate</t>
  </si>
  <si>
    <t xml:space="preserve">No renewal data exists yet (first renewals due Jul 10). Benchmarked to typical D2C subscribe&amp;save monthly renewal of 70-85%; Bear assumes renewal disappoints badly.</t>
  </si>
  <si>
    <t xml:space="preserve">Assumption — flagged as unknown in data pack (Retention &amp; Subs: 'renewal rate unknown — you must assume one')</t>
  </si>
  <si>
    <t xml:space="preserve">aov_drift</t>
  </si>
  <si>
    <t xml:space="preserve">Monthly AOV growth (price + pack-mix upsize)</t>
  </si>
  <si>
    <t xml:space="preserve">Combines a modest price increase (allowed per brief Sec.4, pack/pricing changes permitted with justification) with mix-shift toward 12-packs/Subscribe (already the repeat-buyer pattern per Retention &amp; Subs).</t>
  </si>
  <si>
    <t xml:space="preserve">Data pack: Retention &amp; Subs ('repeat customers upsize to 12-packs')</t>
  </si>
  <si>
    <t xml:space="preserve">mkt_launch</t>
  </si>
  <si>
    <t xml:space="preserve">Month index Amazon marketplace goes live</t>
  </si>
  <si>
    <t xml:space="preserve">Beverage-compliance + FBA onboarding takes ~4 weeks per the founders' consultant; decision made in Jul, live by Aug (Base/Bull) or Sep (Bear, if deprioritised).</t>
  </si>
  <si>
    <t xml:space="preserve">Founder Notes #2 (not listed on Amazon; ~4-week onboarding)</t>
  </si>
  <si>
    <t xml:space="preserve">mkt_aov</t>
  </si>
  <si>
    <t xml:space="preserve">Marketplace (Amazon) AOV, ₹</t>
  </si>
  <si>
    <t xml:space="preserve">Marketplace baskets skew smaller than D2C site baskets (single mid-pack SKU behaviour is typical on marketplaces).</t>
  </si>
  <si>
    <t xml:space="preserve">mkt_take</t>
  </si>
  <si>
    <t xml:space="preserve">Marketplace referral/fee take-rate</t>
  </si>
  <si>
    <t xml:space="preserve">Approximate Amazon beverage-category referral fee.</t>
  </si>
  <si>
    <t xml:space="preserve">Category benchmark (Amazon India seller fee schedule, beverages ~15%)</t>
  </si>
  <si>
    <t xml:space="preserve">mkt_add</t>
  </si>
  <si>
    <t xml:space="preserve">Marketplace monthly order-growth increment</t>
  </si>
  <si>
    <t xml:space="preserve">Additive new marketplace orders/month once live, scaled by the seasonality index.</t>
  </si>
  <si>
    <t xml:space="preserve">qc_launch</t>
  </si>
  <si>
    <t xml:space="preserve">Month index Quick-Commerce (Blinkit) pilot goes live</t>
  </si>
  <si>
    <t xml:space="preserve">Blinkit's inbound (2-city pilot, Jun 24) is accepted in Base/Bull after a short negotiation on trade terms; Bear assumes NYOD declines/delays the pilot to conserve cash and management bandwidth.</t>
  </si>
  <si>
    <t xml:space="preserve">Founder Notes #1 (Blinkit inbound: 18-22% trade margin, ~₹2L upfront, fortnightly replenishment)</t>
  </si>
  <si>
    <t xml:space="preserve">qc_aov</t>
  </si>
  <si>
    <t xml:space="preserve">Quick-commerce basket AOV, ₹</t>
  </si>
  <si>
    <t xml:space="preserve">Quick-commerce baskets are impulse-sized — smaller than D2C or even marketplace.</t>
  </si>
  <si>
    <t xml:space="preserve">qc_take</t>
  </si>
  <si>
    <t xml:space="preserve">Quick-commerce trade margin to platform</t>
  </si>
  <si>
    <t xml:space="preserve">Midpoint of the Blinkit-quoted 18-22% trade margin range.</t>
  </si>
  <si>
    <t xml:space="preserve">Founder Notes #1</t>
  </si>
  <si>
    <t xml:space="preserve">qc_add</t>
  </si>
  <si>
    <t xml:space="preserve">Quick-commerce monthly order-growth increment</t>
  </si>
  <si>
    <t xml:space="preserve">Additive QC orders/month once live (2-city pilot: Delhi NCR + Bangalore, NYOD's #1 and #2 metros by order share).</t>
  </si>
  <si>
    <t xml:space="preserve">Founder Notes #7 (Delhi NCR 28%, Bangalore 19% of orders)</t>
  </si>
  <si>
    <t xml:space="preserve">exp2_m</t>
  </si>
  <si>
    <t xml:space="preserve">Month index capacity expansion #2 is COMMITTED</t>
  </si>
  <si>
    <t xml:space="preserve">A 2nd co-packer line (~₹6L capex, 60-75 day lead) is ordered in Aug-26 (Base) or immediately in Jul-26 (Bull) to be ready ahead of the Oct-Nov festive peak. Bear never commits — demand never requires it.</t>
  </si>
  <si>
    <t xml:space="preserve">Founder Notes #10 (2nd line: 60-75 days, ~₹6L)</t>
  </si>
  <si>
    <t xml:space="preserve">exp2_lead</t>
  </si>
  <si>
    <t xml:space="preserve">Lead time for expansion #2 (months, rounded)</t>
  </si>
  <si>
    <t xml:space="preserve">60-75 days ≈ 2-2.5 months; Bear assumes a slower vendor process given lower urgency.</t>
  </si>
  <si>
    <t xml:space="preserve">exp3_m</t>
  </si>
  <si>
    <t xml:space="preserve">Month index capacity expansion #3 is COMMITTED (99=never)</t>
  </si>
  <si>
    <t xml:space="preserve">A 3rd line/co-packer is only committed in Bull, once Q2 festive results and Bull-case funding (see raise) de-risk the capex.</t>
  </si>
  <si>
    <t xml:space="preserve">exp3_lead</t>
  </si>
  <si>
    <t xml:space="preserve">Lead time for expansion #3 (months)</t>
  </si>
  <si>
    <t xml:space="preserve">OPERATING &amp; COST ASSUMPTIONS (same across scenarios unless noted)</t>
  </si>
  <si>
    <t xml:space="preserve">cogs_can_start</t>
  </si>
  <si>
    <t xml:space="preserve">COGS per can, Jul-26 (₹)</t>
  </si>
  <si>
    <t xml:space="preserve">Unchanged from June actual (₹28 ingredients + ₹16 can/label + ₹8 co-packer fee).</t>
  </si>
  <si>
    <t xml:space="preserve">Data pack: Monthly P&amp;L unit-economics inputs</t>
  </si>
  <si>
    <t xml:space="preserve">cogs_can_end</t>
  </si>
  <si>
    <t xml:space="preserve">COGS per can, Jun-27 (₹)</t>
  </si>
  <si>
    <t xml:space="preserve">Modest volume-driven co-packer renegotiation as batch volumes scale; Bear assumes no leverage since volumes stay low.</t>
  </si>
  <si>
    <t xml:space="preserve">ship_ord_start</t>
  </si>
  <si>
    <t xml:space="preserve">Shipping per order, Jul-26 (₹)</t>
  </si>
  <si>
    <t xml:space="preserve">June actual.</t>
  </si>
  <si>
    <t xml:space="preserve">ship_ord_end</t>
  </si>
  <si>
    <t xml:space="preserve">Shipping per order, Jun-27 (₹)</t>
  </si>
  <si>
    <t xml:space="preserve">Freight consolidation / carrier renegotiation at higher volumes.</t>
  </si>
  <si>
    <t xml:space="preserve">gateway_pct</t>
  </si>
  <si>
    <t xml:space="preserve">Payment gateway fee, % of net revenue</t>
  </si>
  <si>
    <t xml:space="preserve">Unchanged from data pack.</t>
  </si>
  <si>
    <t xml:space="preserve">Data pack: Monthly P&amp;L</t>
  </si>
  <si>
    <t xml:space="preserve">box_cost</t>
  </si>
  <si>
    <t xml:space="preserve">Boxes &amp; packaging per D2C order (₹)</t>
  </si>
  <si>
    <t xml:space="preserve">Unchanged from data pack (applied to D2C orders only; marketplace/QC use platform-standard packaging, already reflected in the lower take-home AOV).</t>
  </si>
  <si>
    <t xml:space="preserve">wc_drag_pct</t>
  </si>
  <si>
    <t xml:space="preserve">Working-capital drag, % of monthly COGS</t>
  </si>
  <si>
    <t xml:space="preserve">Proxy for the cash-timing mismatch created by the co-packer's 50% advance-on-order / 50% on-dispatch terms versus D2C cash-upfront receipts.</t>
  </si>
  <si>
    <t xml:space="preserve">Founder Notes #10, #11</t>
  </si>
  <si>
    <t xml:space="preserve">capex_per_exp</t>
  </si>
  <si>
    <t xml:space="preserve">Capex per capacity expansion (₹)</t>
  </si>
  <si>
    <t xml:space="preserve">2nd/3rd co-packer line onboarding cost.</t>
  </si>
  <si>
    <t xml:space="preserve">hire1_month</t>
  </si>
  <si>
    <t xml:space="preserve">Month index of Hire 1 (growth/creative associate)</t>
  </si>
  <si>
    <t xml:space="preserve">A dedicated content/performance hire to break Meta creative fatigue (see cac_relief_m).</t>
  </si>
  <si>
    <t xml:space="preserve">hire1_amt</t>
  </si>
  <si>
    <t xml:space="preserve">Hire 1 monthly fully-loaded cost (₹)</t>
  </si>
  <si>
    <t xml:space="preserve">hire2_month</t>
  </si>
  <si>
    <t xml:space="preserve">Month index of Hire 2 (ops/supply chain exec)</t>
  </si>
  <si>
    <t xml:space="preserve">Brought on as 2nd capacity line and multi-channel fulfilment (marketplace+QC) add ops complexity.</t>
  </si>
  <si>
    <t xml:space="preserve">hire2_amt</t>
  </si>
  <si>
    <t xml:space="preserve">Hire 2 monthly fully-loaded cost (₹)</t>
  </si>
  <si>
    <t xml:space="preserve">hire3_month</t>
  </si>
  <si>
    <t xml:space="preserve">Month index of Hire 3 (category/marketplace manager)</t>
  </si>
  <si>
    <t xml:space="preserve">Added once marketplace + quick-commerce scale enough to need dedicated management.</t>
  </si>
  <si>
    <t xml:space="preserve">hire3_amt</t>
  </si>
  <si>
    <t xml:space="preserve">Hire 3 monthly fully-loaded cost (₹)</t>
  </si>
  <si>
    <t xml:space="preserve">raise_month</t>
  </si>
  <si>
    <t xml:space="preserve">Month index of funding raise (99=none)</t>
  </si>
  <si>
    <t xml:space="preserve">Base plans to reach ₹1cr organically off existing cash; Bull assumes a ~₹1.8cr top-up around Jan-27, justified by 6 months of festive-season traction, positive CM2 by Q2 and de-risked marketplace/QC unit economics — used to fund a 3rd capacity line + national QC rollout. Bear never raises.</t>
  </si>
  <si>
    <t xml:space="preserve">Rubric Sec.4: 'bull case may include a raise — state amount, timing, milestones'</t>
  </si>
  <si>
    <t xml:space="preserve">raise_amount</t>
  </si>
  <si>
    <t xml:space="preserve">Funding raise amount (₹)</t>
  </si>
  <si>
    <t xml:space="preserve">cash_floor</t>
  </si>
  <si>
    <t xml:space="preserve">Minimum cash covenant (₹)</t>
  </si>
  <si>
    <t xml:space="preserve">Per brief Sec.4 — base case cash may never fall below ₹5L.</t>
  </si>
  <si>
    <t xml:space="preserve">Brief Sec.4</t>
  </si>
  <si>
    <t xml:space="preserve">MONTHLY DRIVER ENGINE  (fully linked to Assumptions &amp; Log — switch scenario there)</t>
  </si>
  <si>
    <t xml:space="preserve">Month index (0 = Jul-26)</t>
  </si>
  <si>
    <t xml:space="preserve">Month</t>
  </si>
  <si>
    <t xml:space="preserve">Jul-26</t>
  </si>
  <si>
    <t xml:space="preserve">Aug-26</t>
  </si>
  <si>
    <t xml:space="preserve">Sep-26</t>
  </si>
  <si>
    <t xml:space="preserve">Oct-26</t>
  </si>
  <si>
    <t xml:space="preserve">Nov-26</t>
  </si>
  <si>
    <t xml:space="preserve">Dec-26</t>
  </si>
  <si>
    <t xml:space="preserve">Jan-27</t>
  </si>
  <si>
    <t xml:space="preserve">Feb-27</t>
  </si>
  <si>
    <t xml:space="preserve">Mar-27</t>
  </si>
  <si>
    <t xml:space="preserve">Apr-27</t>
  </si>
  <si>
    <t xml:space="preserve">May-27</t>
  </si>
  <si>
    <t xml:space="preserve">Jun-27</t>
  </si>
  <si>
    <t xml:space="preserve">RTD/functional-beverage demand index</t>
  </si>
  <si>
    <t xml:space="preserve">Gut-health interest index</t>
  </si>
  <si>
    <t xml:space="preserve">Demand multiplier (vs Jun-26 baseline)</t>
  </si>
  <si>
    <t xml:space="preserve">ACQUISITION &amp; CAC</t>
  </si>
  <si>
    <t xml:space="preserve">Paid media spend (Meta+Google), ₹</t>
  </si>
  <si>
    <t xml:space="preserve">CAC structural trend (pre-seasonality), ₹</t>
  </si>
  <si>
    <t xml:space="preserve">Blended paid CAC — seasonality-adjusted, ₹</t>
  </si>
  <si>
    <t xml:space="preserve">New customers — paid</t>
  </si>
  <si>
    <t xml:space="preserve">New customers — organic/referral</t>
  </si>
  <si>
    <t xml:space="preserve">New first-time customers (total)</t>
  </si>
  <si>
    <t xml:space="preserve">Cumulative D2C customers (end of month)</t>
  </si>
  <si>
    <t xml:space="preserve">RETENTION &amp; SUBSCRIPTION</t>
  </si>
  <si>
    <t xml:space="preserve">Repeat-eligible pool (customers acquired 1-2 mo ago)</t>
  </si>
  <si>
    <t xml:space="preserve">Monthly repeat-purchase probability</t>
  </si>
  <si>
    <t xml:space="preserve">Repeat orders</t>
  </si>
  <si>
    <t xml:space="preserve">Share of new customers -&gt; Subscribe&amp;Save</t>
  </si>
  <si>
    <t xml:space="preserve">New subscribers</t>
  </si>
  <si>
    <t xml:space="preserve">Active subscribers (end of month)</t>
  </si>
  <si>
    <t xml:space="preserve">Subscription orders</t>
  </si>
  <si>
    <t xml:space="preserve">REVENUE</t>
  </si>
  <si>
    <t xml:space="preserve">D2C orders (first + repeat + subscription)</t>
  </si>
  <si>
    <t xml:space="preserve">D2C AOV, ₹</t>
  </si>
  <si>
    <t xml:space="preserve">D2C revenue, ₹</t>
  </si>
  <si>
    <t xml:space="preserve">Marketplace (Amazon) orders</t>
  </si>
  <si>
    <t xml:space="preserve">Marketplace revenue (net of referral fee), ₹</t>
  </si>
  <si>
    <t xml:space="preserve">Quick-commerce (Blinkit) orders</t>
  </si>
  <si>
    <t xml:space="preserve">Quick-commerce revenue (net of trade margin), ₹</t>
  </si>
  <si>
    <t xml:space="preserve">TOTAL NET REVENUE (MRR), ₹</t>
  </si>
  <si>
    <t xml:space="preserve">OPS: CANS &amp; CAPACITY</t>
  </si>
  <si>
    <t xml:space="preserve">Cans per D2C order</t>
  </si>
  <si>
    <t xml:space="preserve">Cans required</t>
  </si>
  <si>
    <t xml:space="preserve">Capacity ceiling (cans/month)</t>
  </si>
  <si>
    <t xml:space="preserve">Capacity headroom (+) / shortfall (-)</t>
  </si>
  <si>
    <t xml:space="preserve">CONTRIBUTION MARGIN</t>
  </si>
  <si>
    <t xml:space="preserve">COGS per can, ₹</t>
  </si>
  <si>
    <t xml:space="preserve">COGS, ₹</t>
  </si>
  <si>
    <t xml:space="preserve">Shipping per order, ₹</t>
  </si>
  <si>
    <t xml:space="preserve">Shipping &amp; fulfilment, ₹</t>
  </si>
  <si>
    <t xml:space="preserve">Payment gateway fees, ₹</t>
  </si>
  <si>
    <t xml:space="preserve">Boxes &amp; packaging, ₹</t>
  </si>
  <si>
    <t xml:space="preserve">Contribution Margin 1, ₹</t>
  </si>
  <si>
    <t xml:space="preserve">CM1 % of revenue</t>
  </si>
  <si>
    <t xml:space="preserve">MARKETING &amp; OVERHEAD</t>
  </si>
  <si>
    <t xml:space="preserve">Influencer seeding, ₹</t>
  </si>
  <si>
    <t xml:space="preserve">Tools &amp; software, ₹</t>
  </si>
  <si>
    <t xml:space="preserve">Total marketing cost (paid+seeding+tools), ₹</t>
  </si>
  <si>
    <t xml:space="preserve">Contribution Margin 2, ₹</t>
  </si>
  <si>
    <t xml:space="preserve">Incremental hiring cost, ₹</t>
  </si>
  <si>
    <t xml:space="preserve">Fixed overhead (salaries+freelance+3PL+admin), ₹</t>
  </si>
  <si>
    <t xml:space="preserve">EBITDA, ₹</t>
  </si>
  <si>
    <t xml:space="preserve">CASH</t>
  </si>
  <si>
    <t xml:space="preserve">Working-capital drag (batch advance timing), ₹</t>
  </si>
  <si>
    <t xml:space="preserve">Capacity-expansion capex, ₹</t>
  </si>
  <si>
    <t xml:space="preserve">Funding raise, ₹</t>
  </si>
  <si>
    <t xml:space="preserve">Cash — beginning, ₹</t>
  </si>
  <si>
    <t xml:space="preserve">Cash — ending, ₹</t>
  </si>
  <si>
    <t xml:space="preserve">Below ₹5L covenant floor?</t>
  </si>
  <si>
    <t xml:space="preserve">WEEKLY ROLLOUT — 52 WEEKS (Jul 1, 2026 – Jun 29, 2027)</t>
  </si>
  <si>
    <t xml:space="preserve">Each week = its month's Monthly Engine total x a within-month weight (weights sum to 1 -&gt; weekly rows always tie back to the monthly engine exactly). Only new-customer acquisition + total revenue carry the weekly weighting; capacity is shown as an even monthly split for headroom-checking.</t>
  </si>
  <si>
    <t xml:space="preserve">Wk</t>
  </si>
  <si>
    <t xml:space="preserve">Start</t>
  </si>
  <si>
    <t xml:space="preserve">End</t>
  </si>
  <si>
    <t xml:space="preserve">Wk wt</t>
  </si>
  <si>
    <t xml:space="preserve">New Paid Ord</t>
  </si>
  <si>
    <t xml:space="preserve">New Org Ord</t>
  </si>
  <si>
    <t xml:space="preserve">D2C Orders</t>
  </si>
  <si>
    <t xml:space="preserve">Mkt+QC Ord</t>
  </si>
  <si>
    <t xml:space="preserve">Total Orders</t>
  </si>
  <si>
    <t xml:space="preserve">AOV ₹</t>
  </si>
  <si>
    <t xml:space="preserve">Net Revenue ₹</t>
  </si>
  <si>
    <t xml:space="preserve">Cans Req'd</t>
  </si>
  <si>
    <t xml:space="preserve">Capacity/wk</t>
  </si>
  <si>
    <t xml:space="preserve">Headroom</t>
  </si>
  <si>
    <t xml:space="preserve">CM1 ₹</t>
  </si>
  <si>
    <t xml:space="preserve">EBITDA (flow) ₹</t>
  </si>
  <si>
    <t xml:space="preserve">Event note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</si>
  <si>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</si>
  <si>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</si>
  <si>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</si>
  <si>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</si>
  <si>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</si>
  <si>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F6</t>
  </si>
  <si>
    <t xml:space="preserve">F7</t>
  </si>
  <si>
    <t xml:space="preserve">F8</t>
  </si>
  <si>
    <t xml:space="preserve">F9</t>
  </si>
  <si>
    <t xml:space="preserve">F10</t>
  </si>
  <si>
    <t xml:space="preserve">F11</t>
  </si>
  <si>
    <t xml:space="preserve">F12</t>
  </si>
  <si>
    <t xml:space="preserve">F13</t>
  </si>
  <si>
    <t xml:space="preserve">F14</t>
  </si>
  <si>
    <t xml:space="preserve">F15</t>
  </si>
  <si>
    <t xml:space="preserve">F16</t>
  </si>
  <si>
    <t xml:space="preserve">F17</t>
  </si>
  <si>
    <t xml:space="preserve">F18</t>
  </si>
  <si>
    <t xml:space="preserve">F19</t>
  </si>
  <si>
    <t xml:space="preserve">Diwali week (demand nudge)</t>
  </si>
  <si>
    <t xml:space="preserve">F20</t>
  </si>
  <si>
    <t xml:space="preserve">F21</t>
  </si>
  <si>
    <t xml:space="preserve">F22</t>
  </si>
  <si>
    <t xml:space="preserve">F23</t>
  </si>
  <si>
    <t xml:space="preserve">F24</t>
  </si>
  <si>
    <t xml:space="preserve">F25</t>
  </si>
  <si>
    <t xml:space="preserve">F26</t>
  </si>
  <si>
    <t xml:space="preserve">F27</t>
  </si>
  <si>
    <t xml:space="preserve">New Year / gut-health resolution week (demand nudge)</t>
  </si>
  <si>
    <t xml:space="preserve">F28</t>
  </si>
  <si>
    <t xml:space="preserve">F29</t>
  </si>
  <si>
    <t xml:space="preserve">F30</t>
  </si>
  <si>
    <t xml:space="preserve">F31</t>
  </si>
  <si>
    <t xml:space="preserve">F32</t>
  </si>
  <si>
    <t xml:space="preserve">F33</t>
  </si>
  <si>
    <t xml:space="preserve">F34</t>
  </si>
  <si>
    <t xml:space="preserve">F35</t>
  </si>
  <si>
    <t xml:space="preserve">F36</t>
  </si>
  <si>
    <t xml:space="preserve">F37</t>
  </si>
  <si>
    <t xml:space="preserve">F38</t>
  </si>
  <si>
    <t xml:space="preserve">F39</t>
  </si>
  <si>
    <t xml:space="preserve">F40</t>
  </si>
  <si>
    <t xml:space="preserve">F41</t>
  </si>
  <si>
    <t xml:space="preserve">F42</t>
  </si>
  <si>
    <t xml:space="preserve">F43</t>
  </si>
  <si>
    <t xml:space="preserve">F44</t>
  </si>
  <si>
    <t xml:space="preserve">F45</t>
  </si>
  <si>
    <t xml:space="preserve">F46</t>
  </si>
  <si>
    <t xml:space="preserve">F47</t>
  </si>
  <si>
    <t xml:space="preserve">F48</t>
  </si>
  <si>
    <t xml:space="preserve">F49</t>
  </si>
  <si>
    <t xml:space="preserve">F50</t>
  </si>
  <si>
    <t xml:space="preserve">F51</t>
  </si>
  <si>
    <t xml:space="preserve">F52</t>
  </si>
  <si>
    <t xml:space="preserve">TOTAL / TIE-OUT</t>
  </si>
  <si>
    <t xml:space="preserve">MONTHLY ROLLUP — PATH TO ₹1 CRORE MRR  (live: reflects the Assumptions &amp; Log scenario switch)</t>
  </si>
  <si>
    <t xml:space="preserve">Net revenue (MRR), ₹</t>
  </si>
  <si>
    <t xml:space="preserve">MoM growth %</t>
  </si>
  <si>
    <t xml:space="preserve">Multiple vs Jun-26 actual (₹2,51,242)</t>
  </si>
  <si>
    <t xml:space="preserve">% of ₹1cr target</t>
  </si>
  <si>
    <t xml:space="preserve">D2C orders</t>
  </si>
  <si>
    <t xml:space="preserve">  — of which: Subscription orders</t>
  </si>
  <si>
    <t xml:space="preserve">Marketplace + QC orders</t>
  </si>
  <si>
    <t xml:space="preserve">Capacity ceiling</t>
  </si>
  <si>
    <t xml:space="preserve">Capacity headroom</t>
  </si>
  <si>
    <t xml:space="preserve">Capacity utilisation %</t>
  </si>
  <si>
    <t xml:space="preserve">CM1, ₹</t>
  </si>
  <si>
    <t xml:space="preserve">CM1 %</t>
  </si>
  <si>
    <t xml:space="preserve">CM2, ₹</t>
  </si>
  <si>
    <t xml:space="preserve">EBITDA margin %</t>
  </si>
  <si>
    <t xml:space="preserve">Capex (capacity expansion), ₹</t>
  </si>
  <si>
    <t xml:space="preserve">Covenant status (min ₹5L)</t>
  </si>
  <si>
    <t xml:space="preserve">Chart data (₹ lakh)</t>
  </si>
  <si>
    <t xml:space="preserve">Net revenue, ₹L</t>
  </si>
  <si>
    <t xml:space="preserve">₹1cr target line</t>
  </si>
  <si>
    <t xml:space="preserve">SCENARIO COMPARISON — BASE / BULL / BEAR (reference snapshot)</t>
  </si>
  <si>
    <t xml:space="preserve">Computed by running the live model (Monthly Engine) with the Assumptions &amp; Log scenario switch set to each case in turn. To reproduce live, change cell B3 on 'Assumptions &amp; Log' and re-read 'Monthly Rollup &amp; Cash'. Values below are a point-in-time snapshot for side-by-side reading.</t>
  </si>
  <si>
    <t xml:space="preserve">THE 6 ASSUMPTIONS THAT DIFFER ACROSS SCENARIOS</t>
  </si>
  <si>
    <t xml:space="preserve">• Opening paid-spend growth (hi/lo season), Jul-26 spend</t>
  </si>
  <si>
    <t xml:space="preserve">Base: +16%/+5%, ₹1.15L | Bull: +21%/+9%, ₹1.35L | Bear: +7%/+1%, ₹1.00L</t>
  </si>
  <si>
    <t xml:space="preserve">• CAC structural drift (pre/post creative-relief)</t>
  </si>
  <si>
    <t xml:space="preserve">Base: 1.4%-&gt;0.5% from mo.3 | Bull: 1.2%-&gt;0.6% from mo.2 | Bear: 2.6%-&gt;0.4% from mo.6</t>
  </si>
  <si>
    <t xml:space="preserve">• Organic referral rate + monthly repeat probability (start-&gt;end)</t>
  </si>
  <si>
    <t xml:space="preserve">Base: 2.8% referral, 16%-&gt;24% repeat | Bull: 4.5% referral, 17%-&gt;30% repeat | Bear: 1.2% referral, 11%-&gt;15% repeat</t>
  </si>
  <si>
    <t xml:space="preserve">• Subscribe&amp;Save: share of new custs -&gt; sub, and renewal rate</t>
  </si>
  <si>
    <t xml:space="preserve">Base: 9%-&gt;24% share, 80% renewal | Bull: 10%-&gt;32%, 84% renewal | Bear: 7%-&gt;13%, 66% renewal</t>
  </si>
  <si>
    <t xml:space="preserve">• New-channel sequencing (Amazon / Blinkit QC) &amp; capacity expansion</t>
  </si>
  <si>
    <t xml:space="preserve">Base: Amazon mo.1, QC mo.2, 2nd line mo.1 (live mo.3) | Bull: both mo.0-1, 2nd line immediate + 3rd line mo.5 | Bear: Amazon mo.2 only, no QC, no expansion</t>
  </si>
  <si>
    <t xml:space="preserve">• Funding raise</t>
  </si>
  <si>
    <t xml:space="preserve">Base: none (organic cash only) | Bull: ~₹1.8cr around Jan-27, on festive-season proof points | Bear: none</t>
  </si>
  <si>
    <t xml:space="preserve">EXIT SUMMARY (Jun-27)</t>
  </si>
  <si>
    <t xml:space="preserve">Jun-27 net revenue (MRR), ₹</t>
  </si>
  <si>
    <t xml:space="preserve">Growth multiple vs Jun-26 actual (₹2,51,242)</t>
  </si>
  <si>
    <t xml:space="preserve">% of ₹1cr stretch target</t>
  </si>
  <si>
    <t xml:space="preserve">Minimum cash during the 12 months, ₹</t>
  </si>
  <si>
    <t xml:space="preserve">Jun-27 cans required</t>
  </si>
  <si>
    <t xml:space="preserve">Jun-27 capacity ceiling</t>
  </si>
  <si>
    <t xml:space="preserve">Net revenue by month, ₹ lakh</t>
  </si>
  <si>
    <t xml:space="preserve">₹1cr target</t>
  </si>
  <si>
    <t xml:space="preserve">SENSITIVITY — Jun-27 Base-case revenue to ±20% swings in each assumption</t>
  </si>
  <si>
    <t xml:space="preserve">Baseline Jun-27 net revenue (Base case): ₹2,140,610. Each row perturbs ONE assumption ±20% (holding all others at Base) and re-solves the live model.</t>
  </si>
  <si>
    <t xml:space="preserve">Assumption</t>
  </si>
  <si>
    <t xml:space="preserve">Revenue @ -20%</t>
  </si>
  <si>
    <t xml:space="preserve">Revenue @ +20%</t>
  </si>
  <si>
    <t xml:space="preserve">% impact (-20%)</t>
  </si>
  <si>
    <t xml:space="preserve">% impact (+20%)</t>
  </si>
  <si>
    <t xml:space="preserve">Subscription monthly renewal rate (±20%)</t>
  </si>
  <si>
    <t xml:space="preserve">Subscribe&amp;Save share of new custs, Jun-27 (±20%)</t>
  </si>
  <si>
    <t xml:space="preserve">Organic referral rate off customer base (±20%)</t>
  </si>
  <si>
    <t xml:space="preserve">Repeat-purchase probability, Jun-27 (±20%)</t>
  </si>
  <si>
    <t xml:space="preserve">Paid-spend growth, high-season months (±20%)</t>
  </si>
  <si>
    <t xml:space="preserve">Monthly AOV drift (±20%)</t>
  </si>
  <si>
    <t xml:space="preserve">Structural CAC inflation, pre-relief (±20%)</t>
  </si>
  <si>
    <t xml:space="preserve">TOP 3 — outcome is most sensitive to:</t>
  </si>
  <si>
    <t xml:space="preserve">1. Subscription monthly renewal rate (±20%)</t>
  </si>
  <si>
    <t xml:space="preserve">2. Subscribe&amp;Save share of new custs, Jun-27 (±20%)</t>
  </si>
  <si>
    <t xml:space="preserve">3. Organic referral rate off customer base (±20%)</t>
  </si>
  <si>
    <t xml:space="preserve">• Read: subscription renewal rate is by far the single biggest lever on Month-12 revenue — bigger than CAC inflation, paid-spend growth, or even the organic referral rate.</t>
  </si>
  <si>
    <t xml:space="preserve">• This is the model's central strategic implication: NYOD's growth ceiling is set more by whether Subscribe&amp;Save renews (unknown — flagged in the data pack) than by paid-media efficiency.</t>
  </si>
  <si>
    <t xml:space="preserve">• CAC inflation, while the most visible worry in the data pack (May-&gt;Jun CAC +20%), has the smallest effect on the 12-month outcome here — because paid orders are already a shrinking share of the mix as organic/retention channels compound.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</si>
</sst>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000"/>
    <numFmt numFmtId="167" formatCode="0.00"/>
    <numFmt numFmtId="168" formatCode="#,##0.0"/>
    <numFmt numFmtId="169" formatCode="0.0%"/>
    <numFmt numFmtId="170" formatCode="@"/>
    <numFmt numFmtId="171" formatCode="dd\-mmm\-yy"/>
    <numFmt numFmtId="172" formatCode="0.0\x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7030A0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4F81BD"/>
      <rgbColor rgb="FFB3B3B3"/>
      <rgbColor rgb="FF003366"/>
      <rgbColor rgb="FF339966"/>
      <rgbColor rgb="FF003300"/>
      <rgbColor rgb="FF333300"/>
      <rgbColor rgb="FF993300"/>
      <rgbColor rgb="FFC0504D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Path to ₹1cr MRR — Net Revenue by Month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Rollup &amp; Cash'!B31</c:f>
              <c:strCache>
                <c:ptCount val="1"/>
                <c:pt idx="0">
                  <c:v>Net revenue, ₹L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Rollup &amp; Cash'!$C$3:$N$3</c:f>
              <c:strCache>
                <c:ptCount val="12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</c:strCache>
            </c:strRef>
          </c:cat>
          <c:val>
            <c:numRef>
              <c:f>'Monthly Rollup &amp; Cash'!$C$31:$N$31</c:f>
              <c:numCache>
                <c:formatCode>#,##0.0</c:formatCode>
                <c:ptCount val="12"/>
                <c:pt idx="0">
                  <c:v>2.15641049103335</c:v>
                </c:pt>
                <c:pt idx="1">
                  <c:v>3.00654357329784</c:v>
                </c:pt>
                <c:pt idx="2">
                  <c:v>4.42991860683354</c:v>
                </c:pt>
                <c:pt idx="3">
                  <c:v>6.09814022913198</c:v>
                </c:pt>
                <c:pt idx="4">
                  <c:v>7.29803935904838</c:v>
                </c:pt>
                <c:pt idx="5">
                  <c:v>7.68754255765956</c:v>
                </c:pt>
                <c:pt idx="6">
                  <c:v>9.04329826859521</c:v>
                </c:pt>
                <c:pt idx="7">
                  <c:v>10.1344006291942</c:v>
                </c:pt>
                <c:pt idx="8">
                  <c:v>12.3728622181394</c:v>
                </c:pt>
                <c:pt idx="9">
                  <c:v>15.8420385475056</c:v>
                </c:pt>
                <c:pt idx="10">
                  <c:v>19.0110184518187</c:v>
                </c:pt>
                <c:pt idx="11">
                  <c:v>21.4061043040867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'Monthly Rollup &amp; Cash'!B32</c:f>
              <c:strCache>
                <c:ptCount val="1"/>
                <c:pt idx="0">
                  <c:v>₹1cr target line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Rollup &amp; Cash'!$C$3:$N$3</c:f>
              <c:strCache>
                <c:ptCount val="12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</c:strCache>
            </c:strRef>
          </c:cat>
          <c:val>
            <c:numRef>
              <c:f>'Monthly Rollup &amp; Cash'!$C$32:$N$32</c:f>
              <c:numCache>
                <c:formatCode>#,##0</c:formatCode>
                <c:ptCount val="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0444577"/>
        <c:axId val="17531013"/>
      </c:lineChart>
      <c:catAx>
        <c:axId val="104445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531013"/>
        <c:crosses val="autoZero"/>
        <c:auto val="1"/>
        <c:lblAlgn val="ctr"/>
        <c:lblOffset val="100"/>
        <c:noMultiLvlLbl val="0"/>
      </c:catAx>
      <c:valAx>
        <c:axId val="1753101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 lakh / 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4445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Base vs Bull vs Bear — Net Revenue path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'Scenario Comparison'!A23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'Scenario Comparison'!$B$26:$M$26</c:f>
              <c:strCache>
                <c:ptCount val="12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</c:strCache>
            </c:strRef>
          </c:cat>
          <c:val>
            <c:numRef>
              <c:f>'Scenario Comparison'!$B$23:$M$23</c:f>
              <c:numCache>
                <c:formatCode>#,##0.0</c:formatCode>
                <c:ptCount val="12"/>
                <c:pt idx="0">
                  <c:v>2.156</c:v>
                </c:pt>
                <c:pt idx="1">
                  <c:v>3.007</c:v>
                </c:pt>
                <c:pt idx="2">
                  <c:v>4.43</c:v>
                </c:pt>
                <c:pt idx="3">
                  <c:v>6.098</c:v>
                </c:pt>
                <c:pt idx="4">
                  <c:v>7.298</c:v>
                </c:pt>
                <c:pt idx="5">
                  <c:v>7.688</c:v>
                </c:pt>
                <c:pt idx="6">
                  <c:v>9.043</c:v>
                </c:pt>
                <c:pt idx="7">
                  <c:v>10.134</c:v>
                </c:pt>
                <c:pt idx="8">
                  <c:v>12.373</c:v>
                </c:pt>
                <c:pt idx="9">
                  <c:v>15.842</c:v>
                </c:pt>
                <c:pt idx="10">
                  <c:v>19.011</c:v>
                </c:pt>
                <c:pt idx="11">
                  <c:v>21.406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'Scenario Comparison'!A24</c:f>
              <c:strCache>
                <c:ptCount val="1"/>
                <c:pt idx="0">
                  <c:v>Bull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'Scenario Comparison'!$B$26:$M$26</c:f>
              <c:strCache>
                <c:ptCount val="12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</c:strCache>
            </c:strRef>
          </c:cat>
          <c:val>
            <c:numRef>
              <c:f>'Scenario Comparison'!$B$24:$M$24</c:f>
              <c:numCache>
                <c:formatCode>#,##0.0</c:formatCode>
                <c:ptCount val="12"/>
                <c:pt idx="0">
                  <c:v>2.644</c:v>
                </c:pt>
                <c:pt idx="1">
                  <c:v>4.602</c:v>
                </c:pt>
                <c:pt idx="2">
                  <c:v>7.082</c:v>
                </c:pt>
                <c:pt idx="3">
                  <c:v>10.115</c:v>
                </c:pt>
                <c:pt idx="4">
                  <c:v>12.449</c:v>
                </c:pt>
                <c:pt idx="5">
                  <c:v>13.492</c:v>
                </c:pt>
                <c:pt idx="6">
                  <c:v>16.271</c:v>
                </c:pt>
                <c:pt idx="7">
                  <c:v>18.709</c:v>
                </c:pt>
                <c:pt idx="8">
                  <c:v>23.292</c:v>
                </c:pt>
                <c:pt idx="9">
                  <c:v>30.292</c:v>
                </c:pt>
                <c:pt idx="10">
                  <c:v>37.227</c:v>
                </c:pt>
                <c:pt idx="11">
                  <c:v>43.342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'Scenario Comparison'!A25</c:f>
              <c:strCache>
                <c:ptCount val="1"/>
                <c:pt idx="0">
                  <c:v>Bear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'Scenario Comparison'!$B$26:$M$26</c:f>
              <c:strCache>
                <c:ptCount val="12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</c:strCache>
            </c:strRef>
          </c:cat>
          <c:val>
            <c:numRef>
              <c:f>'Scenario Comparison'!$B$25:$M$25</c:f>
              <c:numCache>
                <c:formatCode>#,##0.0</c:formatCode>
                <c:ptCount val="12"/>
                <c:pt idx="0">
                  <c:v>1.695</c:v>
                </c:pt>
                <c:pt idx="1">
                  <c:v>1.74</c:v>
                </c:pt>
                <c:pt idx="2">
                  <c:v>2.117</c:v>
                </c:pt>
                <c:pt idx="3">
                  <c:v>2.526</c:v>
                </c:pt>
                <c:pt idx="4">
                  <c:v>2.713</c:v>
                </c:pt>
                <c:pt idx="5">
                  <c:v>2.617</c:v>
                </c:pt>
                <c:pt idx="6">
                  <c:v>2.873</c:v>
                </c:pt>
                <c:pt idx="7">
                  <c:v>3.041</c:v>
                </c:pt>
                <c:pt idx="8">
                  <c:v>3.55</c:v>
                </c:pt>
                <c:pt idx="9">
                  <c:v>4.382</c:v>
                </c:pt>
                <c:pt idx="10">
                  <c:v>5.079</c:v>
                </c:pt>
                <c:pt idx="11">
                  <c:v>5.493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'Scenario Comparison'!A26</c:f>
              <c:strCache>
                <c:ptCount val="1"/>
                <c:pt idx="0">
                  <c:v>Month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'Scenario Comparison'!$B$26:$M$26</c:f>
              <c:strCache>
                <c:ptCount val="12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</c:strCache>
            </c:strRef>
          </c:cat>
          <c:val>
            <c:numRef>
              <c:f>'Scenario Comparison'!$B$26:$M$26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4"/>
          <c:order val="4"/>
          <c:tx>
            <c:strRef>
              <c:f>'Scenario Comparison'!A27</c:f>
              <c:strCache>
                <c:ptCount val="1"/>
                <c:pt idx="0">
                  <c:v>₹1cr target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'Scenario Comparison'!$B$26:$M$26</c:f>
              <c:strCache>
                <c:ptCount val="12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</c:strCache>
            </c:strRef>
          </c:cat>
          <c:val>
            <c:numRef>
              <c:f>'Scenario Comparison'!$B$27:$M$27</c:f>
              <c:numCache>
                <c:formatCode>General</c:formatCode>
                <c:ptCount val="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3715885"/>
        <c:axId val="57708238"/>
      </c:lineChart>
      <c:catAx>
        <c:axId val="637158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708238"/>
        <c:crosses val="autoZero"/>
        <c:auto val="1"/>
        <c:lblAlgn val="ctr"/>
        <c:lblOffset val="100"/>
        <c:noMultiLvlLbl val="0"/>
      </c:catAx>
      <c:valAx>
        <c:axId val="5770823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 lakh/month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7158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Sensitivity of Jun-27 revenue (% impact)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Sensitivity!D4</c:f>
              <c:strCache>
                <c:ptCount val="1"/>
                <c:pt idx="0">
                  <c:v>% impact (-20%)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Sensitivity!$A$5:$A$11</c:f>
              <c:strCache>
                <c:ptCount val="7"/>
                <c:pt idx="0">
                  <c:v>Subscription monthly renewal rate (±20%)</c:v>
                </c:pt>
                <c:pt idx="1">
                  <c:v>Subscribe&amp;Save share of new custs, Jun-27 (±20%)</c:v>
                </c:pt>
                <c:pt idx="2">
                  <c:v>Organic referral rate off customer base (±20%)</c:v>
                </c:pt>
                <c:pt idx="3">
                  <c:v>Repeat-purchase probability, Jun-27 (±20%)</c:v>
                </c:pt>
                <c:pt idx="4">
                  <c:v>Paid-spend growth, high-season months (±20%)</c:v>
                </c:pt>
                <c:pt idx="5">
                  <c:v>Monthly AOV drift (±20%)</c:v>
                </c:pt>
                <c:pt idx="6">
                  <c:v>Structural CAC inflation, pre-relief (±20%)</c:v>
                </c:pt>
              </c:strCache>
            </c:strRef>
          </c:cat>
          <c:val>
            <c:numRef>
              <c:f>Sensitivity!$D$5:$D$11</c:f>
              <c:numCache>
                <c:formatCode>0.0%</c:formatCode>
                <c:ptCount val="7"/>
                <c:pt idx="0">
                  <c:v>-0.0464974188166634</c:v>
                </c:pt>
                <c:pt idx="1">
                  <c:v>-0.0300465014841309</c:v>
                </c:pt>
                <c:pt idx="2">
                  <c:v>-0.0210103379360222</c:v>
                </c:pt>
                <c:pt idx="3">
                  <c:v>-0.0187536862281738</c:v>
                </c:pt>
                <c:pt idx="4">
                  <c:v>-0.0142998463614402</c:v>
                </c:pt>
                <c:pt idx="5">
                  <c:v>-0.0118005394991268</c:v>
                </c:pt>
                <c:pt idx="6">
                  <c:v>0.00241745814334924</c:v>
                </c:pt>
              </c:numCache>
            </c:numRef>
          </c:val>
        </c:ser>
        <c:ser>
          <c:idx val="1"/>
          <c:order val="1"/>
          <c:tx>
            <c:strRef>
              <c:f>Sensitivity!E4</c:f>
              <c:strCache>
                <c:ptCount val="1"/>
                <c:pt idx="0">
                  <c:v>% impact (+20%)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Sensitivity!$A$5:$A$11</c:f>
              <c:strCache>
                <c:ptCount val="7"/>
                <c:pt idx="0">
                  <c:v>Subscription monthly renewal rate (±20%)</c:v>
                </c:pt>
                <c:pt idx="1">
                  <c:v>Subscribe&amp;Save share of new custs, Jun-27 (±20%)</c:v>
                </c:pt>
                <c:pt idx="2">
                  <c:v>Organic referral rate off customer base (±20%)</c:v>
                </c:pt>
                <c:pt idx="3">
                  <c:v>Repeat-purchase probability, Jun-27 (±20%)</c:v>
                </c:pt>
                <c:pt idx="4">
                  <c:v>Paid-spend growth, high-season months (±20%)</c:v>
                </c:pt>
                <c:pt idx="5">
                  <c:v>Monthly AOV drift (±20%)</c:v>
                </c:pt>
                <c:pt idx="6">
                  <c:v>Structural CAC inflation, pre-relief (±20%)</c:v>
                </c:pt>
              </c:strCache>
            </c:strRef>
          </c:cat>
          <c:val>
            <c:numRef>
              <c:f>Sensitivity!$E$5:$E$11</c:f>
              <c:numCache>
                <c:formatCode>0.0%</c:formatCode>
                <c:ptCount val="7"/>
                <c:pt idx="0">
                  <c:v>0.103648098455379</c:v>
                </c:pt>
                <c:pt idx="1">
                  <c:v>0.030046501484126</c:v>
                </c:pt>
                <c:pt idx="2">
                  <c:v>0.0222288318540173</c:v>
                </c:pt>
                <c:pt idx="3">
                  <c:v>0.018753686228169</c:v>
                </c:pt>
                <c:pt idx="4">
                  <c:v>0.0146428451468237</c:v>
                </c:pt>
                <c:pt idx="5">
                  <c:v>0.0120601401830512</c:v>
                </c:pt>
                <c:pt idx="6">
                  <c:v>-0.00239756580830557</c:v>
                </c:pt>
              </c:numCache>
            </c:numRef>
          </c:val>
        </c:ser>
        <c:gapWidth val="150"/>
        <c:overlap val="0"/>
        <c:axId val="9758667"/>
        <c:axId val="29390998"/>
      </c:barChart>
      <c:catAx>
        <c:axId val="9758667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impact on Jun-27 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390998"/>
        <c:crosses val="autoZero"/>
        <c:auto val="1"/>
        <c:lblAlgn val="ctr"/>
        <c:lblOffset val="100"/>
        <c:noMultiLvlLbl val="0"/>
      </c:catAx>
      <c:valAx>
        <c:axId val="2939099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586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33</xdr:row>
      <xdr:rowOff>176040</xdr:rowOff>
    </xdr:from>
    <xdr:to>
      <xdr:col>8</xdr:col>
      <xdr:colOff>437760</xdr:colOff>
      <xdr:row>48</xdr:row>
      <xdr:rowOff>187920</xdr:rowOff>
    </xdr:to>
    <xdr:graphicFrame>
      <xdr:nvGraphicFramePr>
        <xdr:cNvPr id="0" name="Chart 1"/>
        <xdr:cNvGraphicFramePr/>
      </xdr:nvGraphicFramePr>
      <xdr:xfrm>
        <a:off x="211320" y="6472080"/>
        <a:ext cx="7909200" cy="2869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28</xdr:row>
      <xdr:rowOff>176040</xdr:rowOff>
    </xdr:from>
    <xdr:to>
      <xdr:col>9</xdr:col>
      <xdr:colOff>313920</xdr:colOff>
      <xdr:row>45</xdr:row>
      <xdr:rowOff>168480</xdr:rowOff>
    </xdr:to>
    <xdr:graphicFrame>
      <xdr:nvGraphicFramePr>
        <xdr:cNvPr id="1" name="Chart 1"/>
        <xdr:cNvGraphicFramePr/>
      </xdr:nvGraphicFramePr>
      <xdr:xfrm>
        <a:off x="0" y="5519520"/>
        <a:ext cx="8631000" cy="3231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219960</xdr:rowOff>
    </xdr:from>
    <xdr:to>
      <xdr:col>5</xdr:col>
      <xdr:colOff>588960</xdr:colOff>
      <xdr:row>38</xdr:row>
      <xdr:rowOff>106200</xdr:rowOff>
    </xdr:to>
    <xdr:graphicFrame>
      <xdr:nvGraphicFramePr>
        <xdr:cNvPr id="2" name="Chart 1"/>
        <xdr:cNvGraphicFramePr/>
      </xdr:nvGraphicFramePr>
      <xdr:xfrm>
        <a:off x="0" y="4163400"/>
        <a:ext cx="7919280" cy="3591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B2:B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60"/>
    <col collapsed="false" customWidth="true" hidden="false" outlineLevel="0" max="3" min="3" style="1" width="4"/>
  </cols>
  <sheetData>
    <row r="2" customFormat="false" ht="17.25" hidden="false" customHeight="true" outlineLevel="0" collapsed="false">
      <c r="B2" s="2" t="s">
        <v>0</v>
      </c>
    </row>
    <row r="4" customFormat="false" ht="15" hidden="false" customHeight="true" outlineLevel="0" collapsed="false">
      <c r="B4" s="3" t="s">
        <v>1</v>
      </c>
    </row>
    <row r="5" customFormat="false" ht="15" hidden="false" customHeight="true" outlineLevel="0" collapsed="false">
      <c r="B5" s="4"/>
    </row>
    <row r="6" customFormat="false" ht="15" hidden="false" customHeight="true" outlineLevel="0" collapsed="false">
      <c r="B6" s="5" t="s">
        <v>2</v>
      </c>
    </row>
    <row r="7" customFormat="false" ht="39" hidden="false" customHeight="true" outlineLevel="0" collapsed="false">
      <c r="B7" s="5" t="s">
        <v>3</v>
      </c>
    </row>
    <row r="8" customFormat="false" ht="51.75" hidden="false" customHeight="true" outlineLevel="0" collapsed="false">
      <c r="B8" s="5" t="s">
        <v>4</v>
      </c>
    </row>
    <row r="9" customFormat="false" ht="51.75" hidden="false" customHeight="true" outlineLevel="0" collapsed="false">
      <c r="B9" s="5" t="s">
        <v>5</v>
      </c>
    </row>
    <row r="10" customFormat="false" ht="39" hidden="false" customHeight="true" outlineLevel="0" collapsed="false">
      <c r="B10" s="5" t="s">
        <v>6</v>
      </c>
    </row>
    <row r="11" customFormat="false" ht="51.75" hidden="false" customHeight="true" outlineLevel="0" collapsed="false">
      <c r="B11" s="5" t="s">
        <v>7</v>
      </c>
    </row>
    <row r="12" customFormat="false" ht="26.25" hidden="false" customHeight="true" outlineLevel="0" collapsed="false">
      <c r="B12" s="5" t="s">
        <v>8</v>
      </c>
    </row>
    <row r="13" customFormat="false" ht="15" hidden="false" customHeight="true" outlineLevel="0" collapsed="false">
      <c r="B13" s="4"/>
    </row>
    <row r="14" customFormat="false" ht="26.25" hidden="false" customHeight="true" outlineLevel="0" collapsed="false">
      <c r="B14" s="4" t="s">
        <v>9</v>
      </c>
    </row>
    <row r="15" customFormat="false" ht="64.5" hidden="false" customHeight="true" outlineLevel="0" collapsed="false">
      <c r="B15" s="4" t="s">
        <v>10</v>
      </c>
    </row>
    <row r="16" customFormat="false" ht="39" hidden="false" customHeight="true" outlineLevel="0" collapsed="false">
      <c r="B16" s="4" t="s">
        <v>11</v>
      </c>
    </row>
    <row r="17" customFormat="false" ht="15" hidden="false" customHeight="true" outlineLevel="0" collapsed="false">
      <c r="B17" s="4" t="s">
        <v>12</v>
      </c>
    </row>
    <row r="18" customFormat="false" ht="26.25" hidden="false" customHeight="true" outlineLevel="0" collapsed="false">
      <c r="B18" s="4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H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42"/>
    <col collapsed="false" customWidth="true" hidden="false" outlineLevel="0" max="6" min="3" style="1" width="12"/>
    <col collapsed="false" customWidth="true" hidden="false" outlineLevel="0" max="7" min="7" style="1" width="46"/>
    <col collapsed="false" customWidth="true" hidden="false" outlineLevel="0" max="8" min="8" style="1" width="34"/>
  </cols>
  <sheetData>
    <row r="1" customFormat="false" ht="17.25" hidden="false" customHeight="true" outlineLevel="0" collapsed="false">
      <c r="A1" s="6" t="s">
        <v>14</v>
      </c>
      <c r="B1" s="6"/>
      <c r="C1" s="6"/>
      <c r="D1" s="6"/>
      <c r="E1" s="6"/>
      <c r="F1" s="6"/>
      <c r="G1" s="6"/>
      <c r="H1" s="6"/>
    </row>
    <row r="3" customFormat="false" ht="15" hidden="false" customHeight="true" outlineLevel="0" collapsed="false">
      <c r="A3" s="3" t="s">
        <v>15</v>
      </c>
      <c r="B3" s="7" t="s">
        <v>16</v>
      </c>
      <c r="C3" s="8" t="s">
        <v>17</v>
      </c>
    </row>
    <row r="5" customFormat="false" ht="15" hidden="false" customHeight="true" outlineLevel="0" collapsed="false">
      <c r="A5" s="9" t="s">
        <v>18</v>
      </c>
      <c r="B5" s="9" t="s">
        <v>19</v>
      </c>
      <c r="C5" s="9" t="s">
        <v>16</v>
      </c>
      <c r="D5" s="9" t="s">
        <v>20</v>
      </c>
      <c r="E5" s="9" t="s">
        <v>21</v>
      </c>
      <c r="F5" s="9" t="s">
        <v>22</v>
      </c>
      <c r="G5" s="9" t="s">
        <v>23</v>
      </c>
      <c r="H5" s="9" t="s">
        <v>24</v>
      </c>
    </row>
    <row r="6" customFormat="false" ht="15" hidden="false" customHeight="true" outlineLevel="0" collapsed="false">
      <c r="A6" s="10" t="s">
        <v>25</v>
      </c>
      <c r="B6" s="10" t="s">
        <v>26</v>
      </c>
      <c r="C6" s="11" t="n">
        <v>3140000</v>
      </c>
      <c r="D6" s="11" t="n">
        <v>3140000</v>
      </c>
      <c r="E6" s="11" t="n">
        <v>3140000</v>
      </c>
      <c r="F6" s="12" t="n">
        <f aca="false">CHOOSE(MATCH($B$3,{"Base","Bull","Bear"},0),C6,D6,E6)</f>
        <v>3140000</v>
      </c>
      <c r="G6" s="13" t="s">
        <v>27</v>
      </c>
      <c r="H6" s="14" t="s">
        <v>28</v>
      </c>
    </row>
    <row r="7" customFormat="false" ht="21.75" hidden="false" customHeight="true" outlineLevel="0" collapsed="false">
      <c r="A7" s="10" t="s">
        <v>29</v>
      </c>
      <c r="B7" s="10" t="s">
        <v>30</v>
      </c>
      <c r="C7" s="11" t="n">
        <v>536.5</v>
      </c>
      <c r="D7" s="11" t="n">
        <v>536.5</v>
      </c>
      <c r="E7" s="11" t="n">
        <v>536.5</v>
      </c>
      <c r="F7" s="12" t="n">
        <f aca="false">CHOOSE(MATCH($B$3,{"Base","Bull","Bear"},0),C7,D7,E7)</f>
        <v>536.5</v>
      </c>
      <c r="G7" s="13" t="s">
        <v>31</v>
      </c>
      <c r="H7" s="14" t="s">
        <v>32</v>
      </c>
    </row>
    <row r="8" customFormat="false" ht="15" hidden="false" customHeight="true" outlineLevel="0" collapsed="false">
      <c r="A8" s="10" t="s">
        <v>33</v>
      </c>
      <c r="B8" s="10" t="s">
        <v>34</v>
      </c>
      <c r="C8" s="11" t="n">
        <v>488</v>
      </c>
      <c r="D8" s="11" t="n">
        <v>488</v>
      </c>
      <c r="E8" s="11" t="n">
        <v>488</v>
      </c>
      <c r="F8" s="12" t="n">
        <f aca="false">CHOOSE(MATCH($B$3,{"Base","Bull","Bear"},0),C8,D8,E8)</f>
        <v>488</v>
      </c>
      <c r="G8" s="13" t="s">
        <v>35</v>
      </c>
      <c r="H8" s="14" t="s">
        <v>36</v>
      </c>
    </row>
    <row r="9" customFormat="false" ht="15" hidden="false" customHeight="true" outlineLevel="0" collapsed="false">
      <c r="A9" s="10" t="s">
        <v>37</v>
      </c>
      <c r="B9" s="10" t="s">
        <v>38</v>
      </c>
      <c r="C9" s="11" t="n">
        <v>47</v>
      </c>
      <c r="D9" s="11" t="n">
        <v>47</v>
      </c>
      <c r="E9" s="11" t="n">
        <v>47</v>
      </c>
      <c r="F9" s="12" t="n">
        <f aca="false">CHOOSE(MATCH($B$3,{"Base","Bull","Bear"},0),C9,D9,E9)</f>
        <v>47</v>
      </c>
      <c r="G9" s="13" t="s">
        <v>39</v>
      </c>
      <c r="H9" s="14" t="s">
        <v>36</v>
      </c>
    </row>
    <row r="10" customFormat="false" ht="21.75" hidden="false" customHeight="true" outlineLevel="0" collapsed="false">
      <c r="A10" s="10" t="s">
        <v>40</v>
      </c>
      <c r="B10" s="10" t="s">
        <v>41</v>
      </c>
      <c r="C10" s="11" t="n">
        <v>48000</v>
      </c>
      <c r="D10" s="11" t="n">
        <v>48000</v>
      </c>
      <c r="E10" s="11" t="n">
        <v>48000</v>
      </c>
      <c r="F10" s="12" t="n">
        <f aca="false">CHOOSE(MATCH($B$3,{"Base","Bull","Bear"},0),C10,D10,E10)</f>
        <v>48000</v>
      </c>
      <c r="G10" s="13" t="s">
        <v>42</v>
      </c>
      <c r="H10" s="14" t="s">
        <v>43</v>
      </c>
    </row>
    <row r="11" customFormat="false" ht="15" hidden="false" customHeight="true" outlineLevel="0" collapsed="false">
      <c r="A11" s="10"/>
      <c r="B11" s="10"/>
      <c r="C11" s="11"/>
      <c r="D11" s="11"/>
      <c r="E11" s="11"/>
      <c r="F11" s="15"/>
      <c r="G11" s="13"/>
      <c r="H11" s="14"/>
    </row>
    <row r="12" customFormat="false" ht="32.25" hidden="false" customHeight="true" outlineLevel="0" collapsed="false">
      <c r="A12" s="10" t="s">
        <v>44</v>
      </c>
      <c r="B12" s="10" t="s">
        <v>45</v>
      </c>
      <c r="C12" s="11" t="n">
        <v>115000</v>
      </c>
      <c r="D12" s="11" t="n">
        <v>135000</v>
      </c>
      <c r="E12" s="11" t="n">
        <v>100000</v>
      </c>
      <c r="F12" s="12" t="n">
        <f aca="false">CHOOSE(MATCH($B$3,{"Base","Bull","Bear"},0),C12,D12,E12)</f>
        <v>115000</v>
      </c>
      <c r="G12" s="13" t="s">
        <v>46</v>
      </c>
      <c r="H12" s="14"/>
    </row>
    <row r="13" customFormat="false" ht="42.75" hidden="false" customHeight="true" outlineLevel="0" collapsed="false">
      <c r="A13" s="10" t="s">
        <v>47</v>
      </c>
      <c r="B13" s="10" t="s">
        <v>48</v>
      </c>
      <c r="C13" s="16" t="n">
        <v>0.16</v>
      </c>
      <c r="D13" s="16" t="n">
        <v>0.21</v>
      </c>
      <c r="E13" s="16" t="n">
        <v>0.07</v>
      </c>
      <c r="F13" s="17" t="n">
        <f aca="false">CHOOSE(MATCH($B$3,{"Base","Bull","Bear"},0),C13,D13,E13)</f>
        <v>0.16</v>
      </c>
      <c r="G13" s="13" t="s">
        <v>49</v>
      </c>
      <c r="H13" s="14" t="s">
        <v>50</v>
      </c>
    </row>
    <row r="14" customFormat="false" ht="32.25" hidden="false" customHeight="true" outlineLevel="0" collapsed="false">
      <c r="A14" s="10" t="s">
        <v>51</v>
      </c>
      <c r="B14" s="10" t="s">
        <v>52</v>
      </c>
      <c r="C14" s="16" t="n">
        <v>0.05</v>
      </c>
      <c r="D14" s="16" t="n">
        <v>0.09</v>
      </c>
      <c r="E14" s="16" t="n">
        <v>0.01</v>
      </c>
      <c r="F14" s="17" t="n">
        <f aca="false">CHOOSE(MATCH($B$3,{"Base","Bull","Bear"},0),C14,D14,E14)</f>
        <v>0.05</v>
      </c>
      <c r="G14" s="13" t="s">
        <v>53</v>
      </c>
      <c r="H14" s="14"/>
    </row>
    <row r="15" customFormat="false" ht="42.75" hidden="false" customHeight="true" outlineLevel="0" collapsed="false">
      <c r="A15" s="10" t="s">
        <v>54</v>
      </c>
      <c r="B15" s="10" t="s">
        <v>55</v>
      </c>
      <c r="C15" s="16" t="n">
        <v>0.014</v>
      </c>
      <c r="D15" s="16" t="n">
        <v>0.012</v>
      </c>
      <c r="E15" s="16" t="n">
        <v>0.026</v>
      </c>
      <c r="F15" s="17" t="n">
        <f aca="false">CHOOSE(MATCH($B$3,{"Base","Bull","Bear"},0),C15,D15,E15)</f>
        <v>0.014</v>
      </c>
      <c r="G15" s="13" t="s">
        <v>56</v>
      </c>
      <c r="H15" s="14" t="s">
        <v>57</v>
      </c>
    </row>
    <row r="16" customFormat="false" ht="32.25" hidden="false" customHeight="true" outlineLevel="0" collapsed="false">
      <c r="A16" s="10" t="s">
        <v>58</v>
      </c>
      <c r="B16" s="10" t="s">
        <v>59</v>
      </c>
      <c r="C16" s="11" t="n">
        <v>3</v>
      </c>
      <c r="D16" s="11" t="n">
        <v>2</v>
      </c>
      <c r="E16" s="11" t="n">
        <v>6</v>
      </c>
      <c r="F16" s="12" t="n">
        <f aca="false">CHOOSE(MATCH($B$3,{"Base","Bull","Bear"},0),C16,D16,E16)</f>
        <v>3</v>
      </c>
      <c r="G16" s="13" t="s">
        <v>60</v>
      </c>
      <c r="H16" s="14"/>
    </row>
    <row r="17" customFormat="false" ht="32.25" hidden="false" customHeight="true" outlineLevel="0" collapsed="false">
      <c r="A17" s="10" t="s">
        <v>61</v>
      </c>
      <c r="B17" s="10" t="s">
        <v>62</v>
      </c>
      <c r="C17" s="16" t="n">
        <v>0.005</v>
      </c>
      <c r="D17" s="16" t="n">
        <v>0.006</v>
      </c>
      <c r="E17" s="16" t="n">
        <v>0.004</v>
      </c>
      <c r="F17" s="17" t="n">
        <f aca="false">CHOOSE(MATCH($B$3,{"Base","Bull","Bear"},0),C17,D17,E17)</f>
        <v>0.005</v>
      </c>
      <c r="G17" s="13" t="s">
        <v>63</v>
      </c>
      <c r="H17" s="14"/>
    </row>
    <row r="18" customFormat="false" ht="53.25" hidden="false" customHeight="true" outlineLevel="0" collapsed="false">
      <c r="A18" s="10" t="s">
        <v>64</v>
      </c>
      <c r="B18" s="10" t="s">
        <v>65</v>
      </c>
      <c r="C18" s="16" t="n">
        <v>0.028</v>
      </c>
      <c r="D18" s="16" t="n">
        <v>0.045</v>
      </c>
      <c r="E18" s="16" t="n">
        <v>0.012</v>
      </c>
      <c r="F18" s="17" t="n">
        <f aca="false">CHOOSE(MATCH($B$3,{"Base","Bull","Bear"},0),C18,D18,E18)</f>
        <v>0.028</v>
      </c>
      <c r="G18" s="13" t="s">
        <v>66</v>
      </c>
      <c r="H18" s="14" t="s">
        <v>67</v>
      </c>
    </row>
    <row r="19" customFormat="false" ht="32.25" hidden="false" customHeight="true" outlineLevel="0" collapsed="false">
      <c r="A19" s="10" t="s">
        <v>68</v>
      </c>
      <c r="B19" s="10" t="s">
        <v>69</v>
      </c>
      <c r="C19" s="11" t="n">
        <v>25</v>
      </c>
      <c r="D19" s="11" t="n">
        <v>40</v>
      </c>
      <c r="E19" s="11" t="n">
        <v>10</v>
      </c>
      <c r="F19" s="12" t="n">
        <f aca="false">CHOOSE(MATCH($B$3,{"Base","Bull","Bear"},0),C19,D19,E19)</f>
        <v>25</v>
      </c>
      <c r="G19" s="13" t="s">
        <v>70</v>
      </c>
      <c r="H19" s="14"/>
    </row>
    <row r="20" customFormat="false" ht="42.75" hidden="false" customHeight="true" outlineLevel="0" collapsed="false">
      <c r="A20" s="10" t="s">
        <v>71</v>
      </c>
      <c r="B20" s="10" t="s">
        <v>72</v>
      </c>
      <c r="C20" s="16" t="n">
        <v>0.16</v>
      </c>
      <c r="D20" s="16" t="n">
        <v>0.17</v>
      </c>
      <c r="E20" s="16" t="n">
        <v>0.11</v>
      </c>
      <c r="F20" s="17" t="n">
        <f aca="false">CHOOSE(MATCH($B$3,{"Base","Bull","Bear"},0),C20,D20,E20)</f>
        <v>0.16</v>
      </c>
      <c r="G20" s="13" t="s">
        <v>73</v>
      </c>
      <c r="H20" s="14" t="s">
        <v>74</v>
      </c>
    </row>
    <row r="21" customFormat="false" ht="42.75" hidden="false" customHeight="true" outlineLevel="0" collapsed="false">
      <c r="A21" s="10" t="s">
        <v>75</v>
      </c>
      <c r="B21" s="10" t="s">
        <v>76</v>
      </c>
      <c r="C21" s="16" t="n">
        <v>0.24</v>
      </c>
      <c r="D21" s="16" t="n">
        <v>0.3</v>
      </c>
      <c r="E21" s="16" t="n">
        <v>0.15</v>
      </c>
      <c r="F21" s="17" t="n">
        <f aca="false">CHOOSE(MATCH($B$3,{"Base","Bull","Bear"},0),C21,D21,E21)</f>
        <v>0.24</v>
      </c>
      <c r="G21" s="13" t="s">
        <v>77</v>
      </c>
      <c r="H21" s="14"/>
    </row>
    <row r="22" customFormat="false" ht="32.25" hidden="false" customHeight="true" outlineLevel="0" collapsed="false">
      <c r="A22" s="10" t="s">
        <v>78</v>
      </c>
      <c r="B22" s="10" t="s">
        <v>79</v>
      </c>
      <c r="C22" s="16" t="n">
        <v>0.09</v>
      </c>
      <c r="D22" s="16" t="n">
        <v>0.1</v>
      </c>
      <c r="E22" s="16" t="n">
        <v>0.07</v>
      </c>
      <c r="F22" s="17" t="n">
        <f aca="false">CHOOSE(MATCH($B$3,{"Base","Bull","Bear"},0),C22,D22,E22)</f>
        <v>0.09</v>
      </c>
      <c r="G22" s="13" t="s">
        <v>80</v>
      </c>
      <c r="H22" s="14" t="s">
        <v>81</v>
      </c>
    </row>
    <row r="23" customFormat="false" ht="32.25" hidden="false" customHeight="true" outlineLevel="0" collapsed="false">
      <c r="A23" s="10" t="s">
        <v>82</v>
      </c>
      <c r="B23" s="10" t="s">
        <v>83</v>
      </c>
      <c r="C23" s="16" t="n">
        <v>0.24</v>
      </c>
      <c r="D23" s="16" t="n">
        <v>0.32</v>
      </c>
      <c r="E23" s="16" t="n">
        <v>0.13</v>
      </c>
      <c r="F23" s="17" t="n">
        <f aca="false">CHOOSE(MATCH($B$3,{"Base","Bull","Bear"},0),C23,D23,E23)</f>
        <v>0.24</v>
      </c>
      <c r="G23" s="13" t="s">
        <v>84</v>
      </c>
      <c r="H23" s="14"/>
    </row>
    <row r="24" customFormat="false" ht="42.75" hidden="false" customHeight="true" outlineLevel="0" collapsed="false">
      <c r="A24" s="10" t="s">
        <v>85</v>
      </c>
      <c r="B24" s="10" t="s">
        <v>86</v>
      </c>
      <c r="C24" s="16" t="n">
        <v>0.8</v>
      </c>
      <c r="D24" s="16" t="n">
        <v>0.84</v>
      </c>
      <c r="E24" s="16" t="n">
        <v>0.66</v>
      </c>
      <c r="F24" s="17" t="n">
        <f aca="false">CHOOSE(MATCH($B$3,{"Base","Bull","Bear"},0),C24,D24,E24)</f>
        <v>0.8</v>
      </c>
      <c r="G24" s="13" t="s">
        <v>87</v>
      </c>
      <c r="H24" s="14" t="s">
        <v>88</v>
      </c>
    </row>
    <row r="25" customFormat="false" ht="42.75" hidden="false" customHeight="true" outlineLevel="0" collapsed="false">
      <c r="A25" s="10" t="s">
        <v>89</v>
      </c>
      <c r="B25" s="10" t="s">
        <v>90</v>
      </c>
      <c r="C25" s="16" t="n">
        <v>0.011</v>
      </c>
      <c r="D25" s="16" t="n">
        <v>0.016</v>
      </c>
      <c r="E25" s="16" t="n">
        <v>0.004</v>
      </c>
      <c r="F25" s="17" t="n">
        <f aca="false">CHOOSE(MATCH($B$3,{"Base","Bull","Bear"},0),C25,D25,E25)</f>
        <v>0.011</v>
      </c>
      <c r="G25" s="13" t="s">
        <v>91</v>
      </c>
      <c r="H25" s="14" t="s">
        <v>92</v>
      </c>
    </row>
    <row r="26" customFormat="false" ht="32.25" hidden="false" customHeight="true" outlineLevel="0" collapsed="false">
      <c r="A26" s="10" t="s">
        <v>93</v>
      </c>
      <c r="B26" s="10" t="s">
        <v>94</v>
      </c>
      <c r="C26" s="11" t="n">
        <v>1</v>
      </c>
      <c r="D26" s="11" t="n">
        <v>1</v>
      </c>
      <c r="E26" s="11" t="n">
        <v>2</v>
      </c>
      <c r="F26" s="12" t="n">
        <f aca="false">CHOOSE(MATCH($B$3,{"Base","Bull","Bear"},0),C26,D26,E26)</f>
        <v>1</v>
      </c>
      <c r="G26" s="13" t="s">
        <v>95</v>
      </c>
      <c r="H26" s="14" t="s">
        <v>96</v>
      </c>
    </row>
    <row r="27" customFormat="false" ht="21.75" hidden="false" customHeight="true" outlineLevel="0" collapsed="false">
      <c r="A27" s="10" t="s">
        <v>97</v>
      </c>
      <c r="B27" s="10" t="s">
        <v>98</v>
      </c>
      <c r="C27" s="11" t="n">
        <v>680</v>
      </c>
      <c r="D27" s="11" t="n">
        <v>700</v>
      </c>
      <c r="E27" s="11" t="n">
        <v>650</v>
      </c>
      <c r="F27" s="12" t="n">
        <f aca="false">CHOOSE(MATCH($B$3,{"Base","Bull","Bear"},0),C27,D27,E27)</f>
        <v>680</v>
      </c>
      <c r="G27" s="13" t="s">
        <v>99</v>
      </c>
      <c r="H27" s="14"/>
    </row>
    <row r="28" customFormat="false" ht="21.75" hidden="false" customHeight="true" outlineLevel="0" collapsed="false">
      <c r="A28" s="10" t="s">
        <v>100</v>
      </c>
      <c r="B28" s="10" t="s">
        <v>101</v>
      </c>
      <c r="C28" s="16" t="n">
        <v>0.15</v>
      </c>
      <c r="D28" s="16" t="n">
        <v>0.15</v>
      </c>
      <c r="E28" s="16" t="n">
        <v>0.15</v>
      </c>
      <c r="F28" s="17" t="n">
        <f aca="false">CHOOSE(MATCH($B$3,{"Base","Bull","Bear"},0),C28,D28,E28)</f>
        <v>0.15</v>
      </c>
      <c r="G28" s="13" t="s">
        <v>102</v>
      </c>
      <c r="H28" s="14" t="s">
        <v>103</v>
      </c>
    </row>
    <row r="29" customFormat="false" ht="21.75" hidden="false" customHeight="true" outlineLevel="0" collapsed="false">
      <c r="A29" s="10" t="s">
        <v>104</v>
      </c>
      <c r="B29" s="10" t="s">
        <v>105</v>
      </c>
      <c r="C29" s="11" t="n">
        <v>110</v>
      </c>
      <c r="D29" s="11" t="n">
        <v>170</v>
      </c>
      <c r="E29" s="11" t="n">
        <v>40</v>
      </c>
      <c r="F29" s="12" t="n">
        <f aca="false">CHOOSE(MATCH($B$3,{"Base","Bull","Bear"},0),C29,D29,E29)</f>
        <v>110</v>
      </c>
      <c r="G29" s="13" t="s">
        <v>106</v>
      </c>
      <c r="H29" s="14"/>
    </row>
    <row r="30" customFormat="false" ht="42.75" hidden="false" customHeight="true" outlineLevel="0" collapsed="false">
      <c r="A30" s="10" t="s">
        <v>107</v>
      </c>
      <c r="B30" s="10" t="s">
        <v>108</v>
      </c>
      <c r="C30" s="11" t="n">
        <v>2</v>
      </c>
      <c r="D30" s="11" t="n">
        <v>1</v>
      </c>
      <c r="E30" s="11" t="n">
        <v>99</v>
      </c>
      <c r="F30" s="12" t="n">
        <f aca="false">CHOOSE(MATCH($B$3,{"Base","Bull","Bear"},0),C30,D30,E30)</f>
        <v>2</v>
      </c>
      <c r="G30" s="13" t="s">
        <v>109</v>
      </c>
      <c r="H30" s="14" t="s">
        <v>110</v>
      </c>
    </row>
    <row r="31" customFormat="false" ht="21.75" hidden="false" customHeight="true" outlineLevel="0" collapsed="false">
      <c r="A31" s="10" t="s">
        <v>111</v>
      </c>
      <c r="B31" s="10" t="s">
        <v>112</v>
      </c>
      <c r="C31" s="11" t="n">
        <v>520</v>
      </c>
      <c r="D31" s="11" t="n">
        <v>540</v>
      </c>
      <c r="E31" s="11" t="n">
        <v>500</v>
      </c>
      <c r="F31" s="12" t="n">
        <f aca="false">CHOOSE(MATCH($B$3,{"Base","Bull","Bear"},0),C31,D31,E31)</f>
        <v>520</v>
      </c>
      <c r="G31" s="13" t="s">
        <v>113</v>
      </c>
      <c r="H31" s="14"/>
    </row>
    <row r="32" customFormat="false" ht="15" hidden="false" customHeight="true" outlineLevel="0" collapsed="false">
      <c r="A32" s="10" t="s">
        <v>114</v>
      </c>
      <c r="B32" s="10" t="s">
        <v>115</v>
      </c>
      <c r="C32" s="16" t="n">
        <v>0.2</v>
      </c>
      <c r="D32" s="16" t="n">
        <v>0.2</v>
      </c>
      <c r="E32" s="16" t="n">
        <v>0.2</v>
      </c>
      <c r="F32" s="17" t="n">
        <f aca="false">CHOOSE(MATCH($B$3,{"Base","Bull","Bear"},0),C32,D32,E32)</f>
        <v>0.2</v>
      </c>
      <c r="G32" s="13" t="s">
        <v>116</v>
      </c>
      <c r="H32" s="14" t="s">
        <v>117</v>
      </c>
    </row>
    <row r="33" customFormat="false" ht="21.75" hidden="false" customHeight="true" outlineLevel="0" collapsed="false">
      <c r="A33" s="10" t="s">
        <v>118</v>
      </c>
      <c r="B33" s="10" t="s">
        <v>119</v>
      </c>
      <c r="C33" s="11" t="n">
        <v>90</v>
      </c>
      <c r="D33" s="11" t="n">
        <v>160</v>
      </c>
      <c r="E33" s="11" t="n">
        <v>0</v>
      </c>
      <c r="F33" s="12" t="n">
        <f aca="false">CHOOSE(MATCH($B$3,{"Base","Bull","Bear"},0),C33,D33,E33)</f>
        <v>90</v>
      </c>
      <c r="G33" s="13" t="s">
        <v>120</v>
      </c>
      <c r="H33" s="14" t="s">
        <v>121</v>
      </c>
    </row>
    <row r="34" customFormat="false" ht="42.75" hidden="false" customHeight="true" outlineLevel="0" collapsed="false">
      <c r="A34" s="10" t="s">
        <v>122</v>
      </c>
      <c r="B34" s="10" t="s">
        <v>123</v>
      </c>
      <c r="C34" s="11" t="n">
        <v>1</v>
      </c>
      <c r="D34" s="11" t="n">
        <v>0</v>
      </c>
      <c r="E34" s="11" t="n">
        <v>99</v>
      </c>
      <c r="F34" s="12" t="n">
        <f aca="false">CHOOSE(MATCH($B$3,{"Base","Bull","Bear"},0),C34,D34,E34)</f>
        <v>1</v>
      </c>
      <c r="G34" s="13" t="s">
        <v>124</v>
      </c>
      <c r="H34" s="14" t="s">
        <v>125</v>
      </c>
    </row>
    <row r="35" customFormat="false" ht="21.75" hidden="false" customHeight="true" outlineLevel="0" collapsed="false">
      <c r="A35" s="10" t="s">
        <v>126</v>
      </c>
      <c r="B35" s="10" t="s">
        <v>127</v>
      </c>
      <c r="C35" s="11" t="n">
        <v>2</v>
      </c>
      <c r="D35" s="11" t="n">
        <v>2</v>
      </c>
      <c r="E35" s="11" t="n">
        <v>3</v>
      </c>
      <c r="F35" s="12" t="n">
        <f aca="false">CHOOSE(MATCH($B$3,{"Base","Bull","Bear"},0),C35,D35,E35)</f>
        <v>2</v>
      </c>
      <c r="G35" s="13" t="s">
        <v>128</v>
      </c>
      <c r="H35" s="14"/>
    </row>
    <row r="36" customFormat="false" ht="32.25" hidden="false" customHeight="true" outlineLevel="0" collapsed="false">
      <c r="A36" s="10" t="s">
        <v>129</v>
      </c>
      <c r="B36" s="10" t="s">
        <v>130</v>
      </c>
      <c r="C36" s="11" t="n">
        <v>7</v>
      </c>
      <c r="D36" s="11" t="n">
        <v>5</v>
      </c>
      <c r="E36" s="11" t="n">
        <v>99</v>
      </c>
      <c r="F36" s="12" t="n">
        <f aca="false">CHOOSE(MATCH($B$3,{"Base","Bull","Bear"},0),C36,D36,E36)</f>
        <v>7</v>
      </c>
      <c r="G36" s="13" t="s">
        <v>131</v>
      </c>
      <c r="H36" s="14"/>
    </row>
    <row r="37" customFormat="false" ht="15" hidden="false" customHeight="true" outlineLevel="0" collapsed="false">
      <c r="A37" s="10" t="s">
        <v>132</v>
      </c>
      <c r="B37" s="10" t="s">
        <v>133</v>
      </c>
      <c r="C37" s="11" t="n">
        <v>3</v>
      </c>
      <c r="D37" s="11" t="n">
        <v>3</v>
      </c>
      <c r="E37" s="11" t="n">
        <v>3</v>
      </c>
      <c r="F37" s="12" t="n">
        <f aca="false">CHOOSE(MATCH($B$3,{"Base","Bull","Bear"},0),C37,D37,E37)</f>
        <v>3</v>
      </c>
      <c r="G37" s="13"/>
      <c r="H37" s="14"/>
    </row>
    <row r="39" customFormat="false" ht="15" hidden="false" customHeight="true" outlineLevel="0" collapsed="false">
      <c r="A39" s="3" t="s">
        <v>134</v>
      </c>
    </row>
    <row r="40" customFormat="false" ht="15" hidden="false" customHeight="true" outlineLevel="0" collapsed="false">
      <c r="A40" s="9" t="s">
        <v>18</v>
      </c>
      <c r="B40" s="9" t="s">
        <v>19</v>
      </c>
      <c r="C40" s="9" t="s">
        <v>16</v>
      </c>
      <c r="D40" s="9" t="s">
        <v>20</v>
      </c>
      <c r="E40" s="9" t="s">
        <v>21</v>
      </c>
      <c r="F40" s="9" t="s">
        <v>22</v>
      </c>
      <c r="G40" s="9" t="s">
        <v>23</v>
      </c>
      <c r="H40" s="9" t="s">
        <v>24</v>
      </c>
    </row>
    <row r="41" customFormat="false" ht="21.75" hidden="false" customHeight="true" outlineLevel="0" collapsed="false">
      <c r="A41" s="10" t="s">
        <v>135</v>
      </c>
      <c r="B41" s="10" t="s">
        <v>136</v>
      </c>
      <c r="C41" s="11" t="n">
        <v>52</v>
      </c>
      <c r="D41" s="11" t="n">
        <v>52</v>
      </c>
      <c r="E41" s="11" t="n">
        <v>52</v>
      </c>
      <c r="F41" s="12" t="n">
        <f aca="false">CHOOSE(MATCH($B$3,{"Base","Bull","Bear"},0),C41,D41,E41)</f>
        <v>52</v>
      </c>
      <c r="G41" s="13" t="s">
        <v>137</v>
      </c>
      <c r="H41" s="14" t="s">
        <v>138</v>
      </c>
    </row>
    <row r="42" customFormat="false" ht="32.25" hidden="false" customHeight="true" outlineLevel="0" collapsed="false">
      <c r="A42" s="10" t="s">
        <v>139</v>
      </c>
      <c r="B42" s="10" t="s">
        <v>140</v>
      </c>
      <c r="C42" s="11" t="n">
        <v>47</v>
      </c>
      <c r="D42" s="11" t="n">
        <v>45</v>
      </c>
      <c r="E42" s="11" t="n">
        <v>50</v>
      </c>
      <c r="F42" s="12" t="n">
        <f aca="false">CHOOSE(MATCH($B$3,{"Base","Bull","Bear"},0),C42,D42,E42)</f>
        <v>47</v>
      </c>
      <c r="G42" s="13" t="s">
        <v>141</v>
      </c>
      <c r="H42" s="14"/>
    </row>
    <row r="43" customFormat="false" ht="21.75" hidden="false" customHeight="true" outlineLevel="0" collapsed="false">
      <c r="A43" s="10" t="s">
        <v>142</v>
      </c>
      <c r="B43" s="10" t="s">
        <v>143</v>
      </c>
      <c r="C43" s="11" t="n">
        <v>76</v>
      </c>
      <c r="D43" s="11" t="n">
        <v>76</v>
      </c>
      <c r="E43" s="11" t="n">
        <v>76</v>
      </c>
      <c r="F43" s="12" t="n">
        <f aca="false">CHOOSE(MATCH($B$3,{"Base","Bull","Bear"},0),C43,D43,E43)</f>
        <v>76</v>
      </c>
      <c r="G43" s="13" t="s">
        <v>144</v>
      </c>
      <c r="H43" s="14" t="s">
        <v>138</v>
      </c>
    </row>
    <row r="44" customFormat="false" ht="21.75" hidden="false" customHeight="true" outlineLevel="0" collapsed="false">
      <c r="A44" s="10" t="s">
        <v>145</v>
      </c>
      <c r="B44" s="10" t="s">
        <v>146</v>
      </c>
      <c r="C44" s="11" t="n">
        <v>64</v>
      </c>
      <c r="D44" s="11" t="n">
        <v>60</v>
      </c>
      <c r="E44" s="11" t="n">
        <v>72</v>
      </c>
      <c r="F44" s="12" t="n">
        <f aca="false">CHOOSE(MATCH($B$3,{"Base","Bull","Bear"},0),C44,D44,E44)</f>
        <v>64</v>
      </c>
      <c r="G44" s="13" t="s">
        <v>147</v>
      </c>
      <c r="H44" s="14"/>
    </row>
    <row r="45" customFormat="false" ht="15" hidden="false" customHeight="true" outlineLevel="0" collapsed="false">
      <c r="A45" s="10" t="s">
        <v>148</v>
      </c>
      <c r="B45" s="10" t="s">
        <v>149</v>
      </c>
      <c r="C45" s="16" t="n">
        <v>0.02</v>
      </c>
      <c r="D45" s="16" t="n">
        <v>0.02</v>
      </c>
      <c r="E45" s="16" t="n">
        <v>0.02</v>
      </c>
      <c r="F45" s="17" t="n">
        <f aca="false">CHOOSE(MATCH($B$3,{"Base","Bull","Bear"},0),C45,D45,E45)</f>
        <v>0.02</v>
      </c>
      <c r="G45" s="13" t="s">
        <v>150</v>
      </c>
      <c r="H45" s="14" t="s">
        <v>151</v>
      </c>
    </row>
    <row r="46" customFormat="false" ht="32.25" hidden="false" customHeight="true" outlineLevel="0" collapsed="false">
      <c r="A46" s="10" t="s">
        <v>152</v>
      </c>
      <c r="B46" s="10" t="s">
        <v>153</v>
      </c>
      <c r="C46" s="11" t="n">
        <v>22</v>
      </c>
      <c r="D46" s="11" t="n">
        <v>22</v>
      </c>
      <c r="E46" s="11" t="n">
        <v>22</v>
      </c>
      <c r="F46" s="12" t="n">
        <f aca="false">CHOOSE(MATCH($B$3,{"Base","Bull","Bear"},0),C46,D46,E46)</f>
        <v>22</v>
      </c>
      <c r="G46" s="13" t="s">
        <v>154</v>
      </c>
      <c r="H46" s="14" t="s">
        <v>151</v>
      </c>
    </row>
    <row r="47" customFormat="false" ht="32.25" hidden="false" customHeight="true" outlineLevel="0" collapsed="false">
      <c r="A47" s="10" t="s">
        <v>155</v>
      </c>
      <c r="B47" s="10" t="s">
        <v>156</v>
      </c>
      <c r="C47" s="16" t="n">
        <v>0.15</v>
      </c>
      <c r="D47" s="16" t="n">
        <v>0.15</v>
      </c>
      <c r="E47" s="16" t="n">
        <v>0.15</v>
      </c>
      <c r="F47" s="17" t="n">
        <f aca="false">CHOOSE(MATCH($B$3,{"Base","Bull","Bear"},0),C47,D47,E47)</f>
        <v>0.15</v>
      </c>
      <c r="G47" s="13" t="s">
        <v>157</v>
      </c>
      <c r="H47" s="14" t="s">
        <v>158</v>
      </c>
    </row>
    <row r="48" customFormat="false" ht="15" hidden="false" customHeight="true" outlineLevel="0" collapsed="false">
      <c r="A48" s="10" t="s">
        <v>159</v>
      </c>
      <c r="B48" s="10" t="s">
        <v>160</v>
      </c>
      <c r="C48" s="11" t="n">
        <v>600000</v>
      </c>
      <c r="D48" s="11" t="n">
        <v>600000</v>
      </c>
      <c r="E48" s="11" t="n">
        <v>600000</v>
      </c>
      <c r="F48" s="12" t="n">
        <f aca="false">CHOOSE(MATCH($B$3,{"Base","Bull","Bear"},0),C48,D48,E48)</f>
        <v>600000</v>
      </c>
      <c r="G48" s="13" t="s">
        <v>161</v>
      </c>
      <c r="H48" s="14" t="s">
        <v>43</v>
      </c>
    </row>
    <row r="49" customFormat="false" ht="21.75" hidden="false" customHeight="true" outlineLevel="0" collapsed="false">
      <c r="A49" s="10" t="s">
        <v>162</v>
      </c>
      <c r="B49" s="10" t="s">
        <v>163</v>
      </c>
      <c r="C49" s="11" t="n">
        <v>2</v>
      </c>
      <c r="D49" s="11" t="n">
        <v>1</v>
      </c>
      <c r="E49" s="11" t="n">
        <v>4</v>
      </c>
      <c r="F49" s="12" t="n">
        <f aca="false">CHOOSE(MATCH($B$3,{"Base","Bull","Bear"},0),C49,D49,E49)</f>
        <v>2</v>
      </c>
      <c r="G49" s="13" t="s">
        <v>164</v>
      </c>
      <c r="H49" s="14"/>
    </row>
    <row r="50" customFormat="false" ht="15" hidden="false" customHeight="true" outlineLevel="0" collapsed="false">
      <c r="A50" s="10" t="s">
        <v>165</v>
      </c>
      <c r="B50" s="10" t="s">
        <v>166</v>
      </c>
      <c r="C50" s="11" t="n">
        <v>40000</v>
      </c>
      <c r="D50" s="11" t="n">
        <v>40000</v>
      </c>
      <c r="E50" s="11" t="n">
        <v>35000</v>
      </c>
      <c r="F50" s="12" t="n">
        <f aca="false">CHOOSE(MATCH($B$3,{"Base","Bull","Bear"},0),C50,D50,E50)</f>
        <v>40000</v>
      </c>
      <c r="G50" s="13"/>
      <c r="H50" s="14"/>
    </row>
    <row r="51" customFormat="false" ht="21.75" hidden="false" customHeight="true" outlineLevel="0" collapsed="false">
      <c r="A51" s="10" t="s">
        <v>167</v>
      </c>
      <c r="B51" s="10" t="s">
        <v>168</v>
      </c>
      <c r="C51" s="11" t="n">
        <v>5</v>
      </c>
      <c r="D51" s="11" t="n">
        <v>3</v>
      </c>
      <c r="E51" s="11" t="n">
        <v>99</v>
      </c>
      <c r="F51" s="12" t="n">
        <f aca="false">CHOOSE(MATCH($B$3,{"Base","Bull","Bear"},0),C51,D51,E51)</f>
        <v>5</v>
      </c>
      <c r="G51" s="13" t="s">
        <v>169</v>
      </c>
      <c r="H51" s="14"/>
    </row>
    <row r="52" customFormat="false" ht="15" hidden="false" customHeight="true" outlineLevel="0" collapsed="false">
      <c r="A52" s="10" t="s">
        <v>170</v>
      </c>
      <c r="B52" s="10" t="s">
        <v>171</v>
      </c>
      <c r="C52" s="11" t="n">
        <v>35000</v>
      </c>
      <c r="D52" s="11" t="n">
        <v>35000</v>
      </c>
      <c r="E52" s="11" t="n">
        <v>0</v>
      </c>
      <c r="F52" s="12" t="n">
        <f aca="false">CHOOSE(MATCH($B$3,{"Base","Bull","Bear"},0),C52,D52,E52)</f>
        <v>35000</v>
      </c>
      <c r="G52" s="13"/>
      <c r="H52" s="14"/>
    </row>
    <row r="53" customFormat="false" ht="21.75" hidden="false" customHeight="true" outlineLevel="0" collapsed="false">
      <c r="A53" s="10" t="s">
        <v>172</v>
      </c>
      <c r="B53" s="10" t="s">
        <v>173</v>
      </c>
      <c r="C53" s="11" t="n">
        <v>8</v>
      </c>
      <c r="D53" s="11" t="n">
        <v>5</v>
      </c>
      <c r="E53" s="11" t="n">
        <v>99</v>
      </c>
      <c r="F53" s="12" t="n">
        <f aca="false">CHOOSE(MATCH($B$3,{"Base","Bull","Bear"},0),C53,D53,E53)</f>
        <v>8</v>
      </c>
      <c r="G53" s="13" t="s">
        <v>174</v>
      </c>
      <c r="H53" s="14"/>
    </row>
    <row r="54" customFormat="false" ht="15" hidden="false" customHeight="true" outlineLevel="0" collapsed="false">
      <c r="A54" s="10" t="s">
        <v>175</v>
      </c>
      <c r="B54" s="10" t="s">
        <v>176</v>
      </c>
      <c r="C54" s="11" t="n">
        <v>40000</v>
      </c>
      <c r="D54" s="11" t="n">
        <v>45000</v>
      </c>
      <c r="E54" s="11" t="n">
        <v>0</v>
      </c>
      <c r="F54" s="12" t="n">
        <f aca="false">CHOOSE(MATCH($B$3,{"Base","Bull","Bear"},0),C54,D54,E54)</f>
        <v>40000</v>
      </c>
      <c r="G54" s="13"/>
      <c r="H54" s="14"/>
    </row>
    <row r="55" customFormat="false" ht="53.25" hidden="false" customHeight="true" outlineLevel="0" collapsed="false">
      <c r="A55" s="10" t="s">
        <v>177</v>
      </c>
      <c r="B55" s="10" t="s">
        <v>178</v>
      </c>
      <c r="C55" s="11" t="n">
        <v>99</v>
      </c>
      <c r="D55" s="11" t="n">
        <v>6</v>
      </c>
      <c r="E55" s="11" t="n">
        <v>99</v>
      </c>
      <c r="F55" s="12" t="n">
        <f aca="false">CHOOSE(MATCH($B$3,{"Base","Bull","Bear"},0),C55,D55,E55)</f>
        <v>99</v>
      </c>
      <c r="G55" s="13" t="s">
        <v>179</v>
      </c>
      <c r="H55" s="14" t="s">
        <v>180</v>
      </c>
    </row>
    <row r="56" customFormat="false" ht="15" hidden="false" customHeight="true" outlineLevel="0" collapsed="false">
      <c r="A56" s="10" t="s">
        <v>181</v>
      </c>
      <c r="B56" s="10" t="s">
        <v>182</v>
      </c>
      <c r="C56" s="11" t="n">
        <v>0</v>
      </c>
      <c r="D56" s="11" t="n">
        <v>18000000</v>
      </c>
      <c r="E56" s="11" t="n">
        <v>0</v>
      </c>
      <c r="F56" s="12" t="n">
        <f aca="false">CHOOSE(MATCH($B$3,{"Base","Bull","Bear"},0),C56,D56,E56)</f>
        <v>0</v>
      </c>
      <c r="G56" s="13"/>
      <c r="H56" s="14"/>
    </row>
    <row r="57" customFormat="false" ht="15" hidden="false" customHeight="true" outlineLevel="0" collapsed="false">
      <c r="A57" s="10" t="s">
        <v>183</v>
      </c>
      <c r="B57" s="10" t="s">
        <v>184</v>
      </c>
      <c r="C57" s="11" t="n">
        <v>500000</v>
      </c>
      <c r="D57" s="11" t="n">
        <v>500000</v>
      </c>
      <c r="E57" s="11" t="n">
        <v>500000</v>
      </c>
      <c r="F57" s="12" t="n">
        <f aca="false">CHOOSE(MATCH($B$3,{"Base","Bull","Bear"},0),C57,D57,E57)</f>
        <v>500000</v>
      </c>
      <c r="G57" s="13" t="s">
        <v>185</v>
      </c>
      <c r="H57" s="14" t="s">
        <v>186</v>
      </c>
    </row>
  </sheetData>
  <mergeCells count="1">
    <mergeCell ref="A1:H1"/>
  </mergeCells>
  <dataValidations count="1">
    <dataValidation allowBlank="false" errorStyle="stop" operator="between" showDropDown="false" showErrorMessage="false" showInputMessage="false" sqref="B3" type="list">
      <formula1>"Base,Bull,Bear"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B1:N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14" min="3" style="1" width="13"/>
  </cols>
  <sheetData>
    <row r="1" customFormat="false" ht="15.75" hidden="false" customHeight="true" outlineLevel="0" collapsed="false">
      <c r="B1" s="18" t="s">
        <v>187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3" customFormat="false" ht="15" hidden="false" customHeight="true" outlineLevel="0" collapsed="false">
      <c r="B3" s="19" t="s">
        <v>188</v>
      </c>
      <c r="C3" s="19" t="n">
        <v>0</v>
      </c>
      <c r="D3" s="19" t="n">
        <v>1</v>
      </c>
      <c r="E3" s="19" t="n">
        <v>2</v>
      </c>
      <c r="F3" s="19" t="n">
        <v>3</v>
      </c>
      <c r="G3" s="19" t="n">
        <v>4</v>
      </c>
      <c r="H3" s="19" t="n">
        <v>5</v>
      </c>
      <c r="I3" s="19" t="n">
        <v>6</v>
      </c>
      <c r="J3" s="19" t="n">
        <v>7</v>
      </c>
      <c r="K3" s="19" t="n">
        <v>8</v>
      </c>
      <c r="L3" s="19" t="n">
        <v>9</v>
      </c>
      <c r="M3" s="19" t="n">
        <v>10</v>
      </c>
      <c r="N3" s="19" t="n">
        <v>11</v>
      </c>
    </row>
    <row r="4" customFormat="false" ht="15" hidden="false" customHeight="true" outlineLevel="0" collapsed="false">
      <c r="B4" s="19" t="s">
        <v>189</v>
      </c>
      <c r="C4" s="3" t="s">
        <v>190</v>
      </c>
      <c r="D4" s="3" t="s">
        <v>191</v>
      </c>
      <c r="E4" s="3" t="s">
        <v>192</v>
      </c>
      <c r="F4" s="3" t="s">
        <v>193</v>
      </c>
      <c r="G4" s="3" t="s">
        <v>194</v>
      </c>
      <c r="H4" s="3" t="s">
        <v>195</v>
      </c>
      <c r="I4" s="3" t="s">
        <v>196</v>
      </c>
      <c r="J4" s="3" t="s">
        <v>197</v>
      </c>
      <c r="K4" s="3" t="s">
        <v>198</v>
      </c>
      <c r="L4" s="3" t="s">
        <v>199</v>
      </c>
      <c r="M4" s="3" t="s">
        <v>200</v>
      </c>
      <c r="N4" s="3" t="s">
        <v>201</v>
      </c>
    </row>
    <row r="5" customFormat="false" ht="15" hidden="false" customHeight="true" outlineLevel="0" collapsed="false">
      <c r="B5" s="19" t="s">
        <v>202</v>
      </c>
      <c r="C5" s="20" t="n">
        <v>96</v>
      </c>
      <c r="D5" s="20" t="n">
        <v>88</v>
      </c>
      <c r="E5" s="20" t="n">
        <v>92</v>
      </c>
      <c r="F5" s="20" t="n">
        <v>108</v>
      </c>
      <c r="G5" s="20" t="n">
        <v>104</v>
      </c>
      <c r="H5" s="20" t="n">
        <v>84</v>
      </c>
      <c r="I5" s="20" t="n">
        <v>78</v>
      </c>
      <c r="J5" s="20" t="n">
        <v>82</v>
      </c>
      <c r="K5" s="20" t="n">
        <v>98</v>
      </c>
      <c r="L5" s="20" t="n">
        <v>122</v>
      </c>
      <c r="M5" s="20" t="n">
        <v>132</v>
      </c>
      <c r="N5" s="20" t="n">
        <v>128</v>
      </c>
    </row>
    <row r="6" customFormat="false" ht="15" hidden="false" customHeight="true" outlineLevel="0" collapsed="false">
      <c r="B6" s="19" t="s">
        <v>203</v>
      </c>
      <c r="C6" s="20" t="n">
        <v>94</v>
      </c>
      <c r="D6" s="20" t="n">
        <v>92</v>
      </c>
      <c r="E6" s="20" t="n">
        <v>96</v>
      </c>
      <c r="F6" s="20" t="n">
        <v>98</v>
      </c>
      <c r="G6" s="20" t="n">
        <v>96</v>
      </c>
      <c r="H6" s="20" t="n">
        <v>94</v>
      </c>
      <c r="I6" s="20" t="n">
        <v>126</v>
      </c>
      <c r="J6" s="20" t="n">
        <v>108</v>
      </c>
      <c r="K6" s="20" t="n">
        <v>100</v>
      </c>
      <c r="L6" s="20" t="n">
        <v>102</v>
      </c>
      <c r="M6" s="20" t="n">
        <v>98</v>
      </c>
      <c r="N6" s="20" t="n">
        <v>96</v>
      </c>
    </row>
    <row r="7" customFormat="false" ht="15" hidden="false" customHeight="true" outlineLevel="0" collapsed="false">
      <c r="B7" s="19" t="s">
        <v>204</v>
      </c>
      <c r="C7" s="21" t="n">
        <f aca="false">(0.75*C5+0.25*C6)/(0.75*128+0.25*96)</f>
        <v>0.795833333333333</v>
      </c>
      <c r="D7" s="21" t="n">
        <f aca="false">(0.75*D5+0.25*D6)/(0.75*128+0.25*96)</f>
        <v>0.741666666666667</v>
      </c>
      <c r="E7" s="21" t="n">
        <f aca="false">(0.75*E5+0.25*E6)/(0.75*128+0.25*96)</f>
        <v>0.775</v>
      </c>
      <c r="F7" s="21" t="n">
        <f aca="false">(0.75*F5+0.25*F6)/(0.75*128+0.25*96)</f>
        <v>0.879166666666667</v>
      </c>
      <c r="G7" s="21" t="n">
        <f aca="false">(0.75*G5+0.25*G6)/(0.75*128+0.25*96)</f>
        <v>0.85</v>
      </c>
      <c r="H7" s="21" t="n">
        <f aca="false">(0.75*H5+0.25*H6)/(0.75*128+0.25*96)</f>
        <v>0.720833333333333</v>
      </c>
      <c r="I7" s="21" t="n">
        <f aca="false">(0.75*I5+0.25*I6)/(0.75*128+0.25*96)</f>
        <v>0.75</v>
      </c>
      <c r="J7" s="21" t="n">
        <f aca="false">(0.75*J5+0.25*J6)/(0.75*128+0.25*96)</f>
        <v>0.7375</v>
      </c>
      <c r="K7" s="21" t="n">
        <f aca="false">(0.75*K5+0.25*K6)/(0.75*128+0.25*96)</f>
        <v>0.820833333333333</v>
      </c>
      <c r="L7" s="21" t="n">
        <f aca="false">(0.75*L5+0.25*L6)/(0.75*128+0.25*96)</f>
        <v>0.975</v>
      </c>
      <c r="M7" s="21" t="n">
        <f aca="false">(0.75*M5+0.25*M6)/(0.75*128+0.25*96)</f>
        <v>1.02916666666667</v>
      </c>
      <c r="N7" s="21" t="n">
        <f aca="false">(0.75*N5+0.25*N6)/(0.75*128+0.25*96)</f>
        <v>1</v>
      </c>
    </row>
    <row r="9" customFormat="false" ht="15" hidden="false" customHeight="true" outlineLevel="0" collapsed="false">
      <c r="B9" s="22" t="s">
        <v>205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</row>
    <row r="10" customFormat="false" ht="15" hidden="false" customHeight="true" outlineLevel="0" collapsed="false">
      <c r="B10" s="19" t="s">
        <v>206</v>
      </c>
      <c r="C10" s="24" t="n">
        <f aca="false">'Assumptions &amp; Log'!$F$12</f>
        <v>115000</v>
      </c>
      <c r="D10" s="24" t="n">
        <f aca="false">C10*(1+IF(D7&gt;=1,'Assumptions &amp; Log'!$F$13,'Assumptions &amp; Log'!$F$14))*IF(C67&lt;'Assumptions &amp; Log'!$F$57,0.85,1)</f>
        <v>120750</v>
      </c>
      <c r="E10" s="24" t="n">
        <f aca="false">D10*(1+IF(E7&gt;=1,'Assumptions &amp; Log'!$F$13,'Assumptions &amp; Log'!$F$14))*IF(D67&lt;'Assumptions &amp; Log'!$F$57,0.85,1)</f>
        <v>126787.5</v>
      </c>
      <c r="F10" s="24" t="n">
        <f aca="false">E10*(1+IF(F7&gt;=1,'Assumptions &amp; Log'!$F$13,'Assumptions &amp; Log'!$F$14))*IF(E67&lt;'Assumptions &amp; Log'!$F$57,0.85,1)</f>
        <v>133126.875</v>
      </c>
      <c r="G10" s="24" t="n">
        <f aca="false">F10*(1+IF(G7&gt;=1,'Assumptions &amp; Log'!$F$13,'Assumptions &amp; Log'!$F$14))*IF(F67&lt;'Assumptions &amp; Log'!$F$57,0.85,1)</f>
        <v>139783.21875</v>
      </c>
      <c r="H10" s="24" t="n">
        <f aca="false">G10*(1+IF(H7&gt;=1,'Assumptions &amp; Log'!$F$13,'Assumptions &amp; Log'!$F$14))*IF(G67&lt;'Assumptions &amp; Log'!$F$57,0.85,1)</f>
        <v>146772.3796875</v>
      </c>
      <c r="I10" s="24" t="n">
        <f aca="false">H10*(1+IF(I7&gt;=1,'Assumptions &amp; Log'!$F$13,'Assumptions &amp; Log'!$F$14))*IF(H67&lt;'Assumptions &amp; Log'!$F$57,0.85,1)</f>
        <v>154110.998671875</v>
      </c>
      <c r="J10" s="24" t="n">
        <f aca="false">I10*(1+IF(J7&gt;=1,'Assumptions &amp; Log'!$F$13,'Assumptions &amp; Log'!$F$14))*IF(I67&lt;'Assumptions &amp; Log'!$F$57,0.85,1)</f>
        <v>161816.548605469</v>
      </c>
      <c r="K10" s="24" t="n">
        <f aca="false">J10*(1+IF(K7&gt;=1,'Assumptions &amp; Log'!$F$13,'Assumptions &amp; Log'!$F$14))*IF(J67&lt;'Assumptions &amp; Log'!$F$57,0.85,1)</f>
        <v>169907.376035742</v>
      </c>
      <c r="L10" s="24" t="n">
        <f aca="false">K10*(1+IF(L7&gt;=1,'Assumptions &amp; Log'!$F$13,'Assumptions &amp; Log'!$F$14))*IF(K67&lt;'Assumptions &amp; Log'!$F$57,0.85,1)</f>
        <v>178402.744837529</v>
      </c>
      <c r="M10" s="24" t="n">
        <f aca="false">L10*(1+IF(M7&gt;=1,'Assumptions &amp; Log'!$F$13,'Assumptions &amp; Log'!$F$14))*IF(L67&lt;'Assumptions &amp; Log'!$F$57,0.85,1)</f>
        <v>206947.184011534</v>
      </c>
      <c r="N10" s="24" t="n">
        <f aca="false">M10*(1+IF(N7&gt;=1,'Assumptions &amp; Log'!$F$13,'Assumptions &amp; Log'!$F$14))*IF(M67&lt;'Assumptions &amp; Log'!$F$57,0.85,1)</f>
        <v>240058.733453379</v>
      </c>
    </row>
    <row r="11" customFormat="false" ht="15" hidden="false" customHeight="true" outlineLevel="0" collapsed="false">
      <c r="B11" s="19" t="s">
        <v>207</v>
      </c>
      <c r="C11" s="25" t="n">
        <f aca="false">'Assumptions &amp; Log'!$F$7</f>
        <v>536.5</v>
      </c>
      <c r="D11" s="25" t="n">
        <f aca="false">C11*(1+IF(D3&lt;'Assumptions &amp; Log'!$F$16,'Assumptions &amp; Log'!$F$15,'Assumptions &amp; Log'!$F$17))</f>
        <v>544.011</v>
      </c>
      <c r="E11" s="25" t="n">
        <f aca="false">D11*(1+IF(E3&lt;'Assumptions &amp; Log'!$F$16,'Assumptions &amp; Log'!$F$15,'Assumptions &amp; Log'!$F$17))</f>
        <v>551.627154</v>
      </c>
      <c r="F11" s="25" t="n">
        <f aca="false">E11*(1+IF(F3&lt;'Assumptions &amp; Log'!$F$16,'Assumptions &amp; Log'!$F$15,'Assumptions &amp; Log'!$F$17))</f>
        <v>554.38528977</v>
      </c>
      <c r="G11" s="25" t="n">
        <f aca="false">F11*(1+IF(G3&lt;'Assumptions &amp; Log'!$F$16,'Assumptions &amp; Log'!$F$15,'Assumptions &amp; Log'!$F$17))</f>
        <v>557.15721621885</v>
      </c>
      <c r="H11" s="25" t="n">
        <f aca="false">G11*(1+IF(H3&lt;'Assumptions &amp; Log'!$F$16,'Assumptions &amp; Log'!$F$15,'Assumptions &amp; Log'!$F$17))</f>
        <v>559.943002299944</v>
      </c>
      <c r="I11" s="25" t="n">
        <f aca="false">H11*(1+IF(I3&lt;'Assumptions &amp; Log'!$F$16,'Assumptions &amp; Log'!$F$15,'Assumptions &amp; Log'!$F$17))</f>
        <v>562.742717311444</v>
      </c>
      <c r="J11" s="25" t="n">
        <f aca="false">I11*(1+IF(J3&lt;'Assumptions &amp; Log'!$F$16,'Assumptions &amp; Log'!$F$15,'Assumptions &amp; Log'!$F$17))</f>
        <v>565.556430898001</v>
      </c>
      <c r="K11" s="25" t="n">
        <f aca="false">J11*(1+IF(K3&lt;'Assumptions &amp; Log'!$F$16,'Assumptions &amp; Log'!$F$15,'Assumptions &amp; Log'!$F$17))</f>
        <v>568.384213052491</v>
      </c>
      <c r="L11" s="25" t="n">
        <f aca="false">K11*(1+IF(L3&lt;'Assumptions &amp; Log'!$F$16,'Assumptions &amp; Log'!$F$15,'Assumptions &amp; Log'!$F$17))</f>
        <v>571.226134117753</v>
      </c>
      <c r="M11" s="25" t="n">
        <f aca="false">L11*(1+IF(M3&lt;'Assumptions &amp; Log'!$F$16,'Assumptions &amp; Log'!$F$15,'Assumptions &amp; Log'!$F$17))</f>
        <v>574.082264788342</v>
      </c>
      <c r="N11" s="25" t="n">
        <f aca="false">M11*(1+IF(N3&lt;'Assumptions &amp; Log'!$F$16,'Assumptions &amp; Log'!$F$15,'Assumptions &amp; Log'!$F$17))</f>
        <v>576.952676112284</v>
      </c>
    </row>
    <row r="12" customFormat="false" ht="15" hidden="false" customHeight="true" outlineLevel="0" collapsed="false">
      <c r="B12" s="3" t="s">
        <v>208</v>
      </c>
      <c r="C12" s="26" t="n">
        <f aca="false">MAX(C11/C7,300)</f>
        <v>674.13612565445</v>
      </c>
      <c r="D12" s="26" t="n">
        <f aca="false">MAX(D11/D7,300)</f>
        <v>733.49797752809</v>
      </c>
      <c r="E12" s="26" t="n">
        <f aca="false">MAX(E11/E7,300)</f>
        <v>711.776972903226</v>
      </c>
      <c r="F12" s="26" t="n">
        <f aca="false">MAX(F11/F7,300)</f>
        <v>630.580424382938</v>
      </c>
      <c r="G12" s="26" t="n">
        <f aca="false">MAX(G11/G7,300)</f>
        <v>655.479077904529</v>
      </c>
      <c r="H12" s="26" t="n">
        <f aca="false">MAX(H11/H7,300)</f>
        <v>776.799540762928</v>
      </c>
      <c r="I12" s="26" t="n">
        <f aca="false">MAX(I11/I7,300)</f>
        <v>750.323623081925</v>
      </c>
      <c r="J12" s="26" t="n">
        <f aca="false">MAX(J11/J7,300)</f>
        <v>766.856177488815</v>
      </c>
      <c r="K12" s="26" t="n">
        <f aca="false">MAX(K11/K7,300)</f>
        <v>692.447772246689</v>
      </c>
      <c r="L12" s="26" t="n">
        <f aca="false">MAX(L11/L7,300)</f>
        <v>585.87295806949</v>
      </c>
      <c r="M12" s="26" t="n">
        <f aca="false">MAX(M11/M7,300)</f>
        <v>557.812726919847</v>
      </c>
      <c r="N12" s="26" t="n">
        <f aca="false">MAX(N11/N7,300)</f>
        <v>576.952676112284</v>
      </c>
    </row>
    <row r="13" customFormat="false" ht="15" hidden="false" customHeight="true" outlineLevel="0" collapsed="false">
      <c r="B13" s="19" t="s">
        <v>209</v>
      </c>
      <c r="C13" s="25" t="n">
        <f aca="false">C10/C12</f>
        <v>170.588692140416</v>
      </c>
      <c r="D13" s="25" t="n">
        <f aca="false">D10/D12</f>
        <v>164.622130802502</v>
      </c>
      <c r="E13" s="25" t="n">
        <f aca="false">E10/E12</f>
        <v>178.128128369837</v>
      </c>
      <c r="F13" s="25" t="n">
        <f aca="false">F10/F12</f>
        <v>211.117995187169</v>
      </c>
      <c r="G13" s="25" t="n">
        <f aca="false">G10/G12</f>
        <v>213.253517102127</v>
      </c>
      <c r="H13" s="25" t="n">
        <f aca="false">H10/H12</f>
        <v>188.944987716327</v>
      </c>
      <c r="I13" s="25" t="n">
        <f aca="false">I10/I12</f>
        <v>205.392705135512</v>
      </c>
      <c r="J13" s="25" t="n">
        <f aca="false">J10/J12</f>
        <v>211.012903534743</v>
      </c>
      <c r="K13" s="25" t="n">
        <f aca="false">K10/K12</f>
        <v>245.372117357627</v>
      </c>
      <c r="L13" s="25" t="n">
        <f aca="false">L10/L12</f>
        <v>304.507559839225</v>
      </c>
      <c r="M13" s="25" t="n">
        <f aca="false">M10/M12</f>
        <v>370.99760192684</v>
      </c>
      <c r="N13" s="25" t="n">
        <f aca="false">N10/N12</f>
        <v>416.080457535932</v>
      </c>
    </row>
    <row r="14" customFormat="false" ht="15" hidden="false" customHeight="true" outlineLevel="0" collapsed="false">
      <c r="B14" s="19" t="s">
        <v>210</v>
      </c>
      <c r="C14" s="25" t="n">
        <f aca="false">'Assumptions &amp; Log'!$F$18*'Assumptions &amp; Log'!$F$8+'Assumptions &amp; Log'!$F$19*C7</f>
        <v>33.5598333333333</v>
      </c>
      <c r="D14" s="25" t="n">
        <f aca="false">'Assumptions &amp; Log'!$F$18*C16+'Assumptions &amp; Log'!$F$19*D7</f>
        <v>37.9218253799317</v>
      </c>
      <c r="E14" s="25" t="n">
        <f aca="false">'Assumptions &amp; Log'!$F$18*D16+'Assumptions &amp; Log'!$F$19*E7</f>
        <v>44.4263894863731</v>
      </c>
      <c r="F14" s="25" t="n">
        <f aca="false">'Assumptions &amp; Log'!$F$18*E16+'Assumptions &amp; Log'!$F$19*F7</f>
        <v>53.2620826530137</v>
      </c>
      <c r="G14" s="25" t="n">
        <f aca="false">'Assumptions &amp; Log'!$F$18*F16+'Assumptions &amp; Log'!$F$19*G7</f>
        <v>59.9355581658721</v>
      </c>
      <c r="H14" s="25" t="n">
        <f aca="false">'Assumptions &amp; Log'!$F$18*G16+'Assumptions &amp; Log'!$F$19*H7</f>
        <v>64.3556856067094</v>
      </c>
      <c r="I14" s="25" t="n">
        <f aca="false">'Assumptions &amp; Log'!$F$18*H16+'Assumptions &amp; Log'!$F$19*I7</f>
        <v>72.1772711264211</v>
      </c>
      <c r="J14" s="25" t="n">
        <f aca="false">'Assumptions &amp; Log'!$F$18*I16+'Assumptions &amp; Log'!$F$19*J7</f>
        <v>79.6367304617553</v>
      </c>
      <c r="K14" s="25" t="n">
        <f aca="false">'Assumptions &amp; Log'!$F$18*J16+'Assumptions &amp; Log'!$F$19*K7</f>
        <v>89.8582535469905</v>
      </c>
      <c r="L14" s="25" t="n">
        <f aca="false">'Assumptions &amp; Log'!$F$18*K16+'Assumptions &amp; Log'!$F$19*L7</f>
        <v>103.098870598987</v>
      </c>
      <c r="M14" s="25" t="n">
        <f aca="false">'Assumptions &amp; Log'!$F$18*L16+'Assumptions &amp; Log'!$F$19*M7</f>
        <v>115.866017317923</v>
      </c>
      <c r="N14" s="25" t="n">
        <f aca="false">'Assumptions &amp; Log'!$F$18*M16+'Assumptions &amp; Log'!$F$19*N7</f>
        <v>128.76903199011</v>
      </c>
    </row>
    <row r="15" customFormat="false" ht="15" hidden="false" customHeight="true" outlineLevel="0" collapsed="false">
      <c r="B15" s="3" t="s">
        <v>211</v>
      </c>
      <c r="C15" s="26" t="n">
        <f aca="false">C13+C14</f>
        <v>204.14852547375</v>
      </c>
      <c r="D15" s="26" t="n">
        <f aca="false">D13+D14</f>
        <v>202.543956182434</v>
      </c>
      <c r="E15" s="26" t="n">
        <f aca="false">E13+E14</f>
        <v>222.55451785621</v>
      </c>
      <c r="F15" s="26" t="n">
        <f aca="false">F13+F14</f>
        <v>264.380077840182</v>
      </c>
      <c r="G15" s="26" t="n">
        <f aca="false">G13+G14</f>
        <v>273.189075267999</v>
      </c>
      <c r="H15" s="26" t="n">
        <f aca="false">H13+H14</f>
        <v>253.300673323037</v>
      </c>
      <c r="I15" s="26" t="n">
        <f aca="false">I13+I14</f>
        <v>277.569976261933</v>
      </c>
      <c r="J15" s="26" t="n">
        <f aca="false">J13+J14</f>
        <v>290.649633996498</v>
      </c>
      <c r="K15" s="26" t="n">
        <f aca="false">K13+K14</f>
        <v>335.230370904618</v>
      </c>
      <c r="L15" s="26" t="n">
        <f aca="false">L13+L14</f>
        <v>407.606430438212</v>
      </c>
      <c r="M15" s="26" t="n">
        <f aca="false">M13+M14</f>
        <v>486.863619244763</v>
      </c>
      <c r="N15" s="26" t="n">
        <f aca="false">N13+N14</f>
        <v>544.849489526042</v>
      </c>
    </row>
    <row r="16" customFormat="false" ht="15" hidden="false" customHeight="true" outlineLevel="0" collapsed="false">
      <c r="B16" s="19" t="s">
        <v>212</v>
      </c>
      <c r="C16" s="25" t="n">
        <f aca="false">'Assumptions &amp; Log'!$F$8+C15</f>
        <v>692.14852547375</v>
      </c>
      <c r="D16" s="25" t="n">
        <f aca="false">C16+D15</f>
        <v>894.692481656183</v>
      </c>
      <c r="E16" s="25" t="n">
        <f aca="false">D16+E15</f>
        <v>1117.24699951239</v>
      </c>
      <c r="F16" s="25" t="n">
        <f aca="false">E16+F15</f>
        <v>1381.62707735258</v>
      </c>
      <c r="G16" s="25" t="n">
        <f aca="false">F16+G15</f>
        <v>1654.81615262058</v>
      </c>
      <c r="H16" s="25" t="n">
        <f aca="false">G16+H15</f>
        <v>1908.11682594361</v>
      </c>
      <c r="I16" s="25" t="n">
        <f aca="false">H16+I15</f>
        <v>2185.68680220555</v>
      </c>
      <c r="J16" s="25" t="n">
        <f aca="false">I16+J15</f>
        <v>2476.33643620204</v>
      </c>
      <c r="K16" s="25" t="n">
        <f aca="false">J16+K15</f>
        <v>2811.56680710666</v>
      </c>
      <c r="L16" s="25" t="n">
        <f aca="false">K16+L15</f>
        <v>3219.17323754487</v>
      </c>
      <c r="M16" s="25" t="n">
        <f aca="false">L16+M15</f>
        <v>3706.03685678964</v>
      </c>
      <c r="N16" s="25" t="n">
        <f aca="false">M16+N15</f>
        <v>4250.88634631568</v>
      </c>
    </row>
    <row r="18" customFormat="false" ht="15" hidden="false" customHeight="true" outlineLevel="0" collapsed="false">
      <c r="B18" s="22" t="s">
        <v>213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</row>
    <row r="19" customFormat="false" ht="15" hidden="false" customHeight="true" outlineLevel="0" collapsed="false">
      <c r="B19" s="19" t="s">
        <v>214</v>
      </c>
      <c r="C19" s="25" t="n">
        <f aca="false">0</f>
        <v>0</v>
      </c>
      <c r="D19" s="25" t="n">
        <f aca="false">C15</f>
        <v>204.14852547375</v>
      </c>
      <c r="E19" s="25" t="n">
        <f aca="false">SUM(C15:D15)</f>
        <v>406.692481656183</v>
      </c>
      <c r="F19" s="25" t="n">
        <f aca="false">SUM(D15:E15)</f>
        <v>425.098474038644</v>
      </c>
      <c r="G19" s="25" t="n">
        <f aca="false">SUM(E15:F15)</f>
        <v>486.934595696393</v>
      </c>
      <c r="H19" s="25" t="n">
        <f aca="false">SUM(F15:G15)</f>
        <v>537.569153108182</v>
      </c>
      <c r="I19" s="25" t="n">
        <f aca="false">SUM(G15:H15)</f>
        <v>526.489748591036</v>
      </c>
      <c r="J19" s="25" t="n">
        <f aca="false">SUM(H15:I15)</f>
        <v>530.87064958497</v>
      </c>
      <c r="K19" s="25" t="n">
        <f aca="false">SUM(I15:J15)</f>
        <v>568.219610258431</v>
      </c>
      <c r="L19" s="25" t="n">
        <f aca="false">SUM(J15:K15)</f>
        <v>625.880004901116</v>
      </c>
      <c r="M19" s="25" t="n">
        <f aca="false">SUM(K15:L15)</f>
        <v>742.83680134283</v>
      </c>
      <c r="N19" s="25" t="n">
        <f aca="false">SUM(L15:M15)</f>
        <v>894.470049682974</v>
      </c>
    </row>
    <row r="20" customFormat="false" ht="15" hidden="false" customHeight="true" outlineLevel="0" collapsed="false">
      <c r="B20" s="19" t="s">
        <v>215</v>
      </c>
      <c r="C20" s="27" t="n">
        <f aca="false">'Assumptions &amp; Log'!$F$20+('Assumptions &amp; Log'!$F$21-'Assumptions &amp; Log'!$F$20)*C3/11</f>
        <v>0.16</v>
      </c>
      <c r="D20" s="27" t="n">
        <f aca="false">'Assumptions &amp; Log'!$F$20+('Assumptions &amp; Log'!$F$21-'Assumptions &amp; Log'!$F$20)*D3/11</f>
        <v>0.167272727272727</v>
      </c>
      <c r="E20" s="27" t="n">
        <f aca="false">'Assumptions &amp; Log'!$F$20+('Assumptions &amp; Log'!$F$21-'Assumptions &amp; Log'!$F$20)*E3/11</f>
        <v>0.174545454545455</v>
      </c>
      <c r="F20" s="27" t="n">
        <f aca="false">'Assumptions &amp; Log'!$F$20+('Assumptions &amp; Log'!$F$21-'Assumptions &amp; Log'!$F$20)*F3/11</f>
        <v>0.181818181818182</v>
      </c>
      <c r="G20" s="27" t="n">
        <f aca="false">'Assumptions &amp; Log'!$F$20+('Assumptions &amp; Log'!$F$21-'Assumptions &amp; Log'!$F$20)*G3/11</f>
        <v>0.189090909090909</v>
      </c>
      <c r="H20" s="27" t="n">
        <f aca="false">'Assumptions &amp; Log'!$F$20+('Assumptions &amp; Log'!$F$21-'Assumptions &amp; Log'!$F$20)*H3/11</f>
        <v>0.196363636363636</v>
      </c>
      <c r="I20" s="27" t="n">
        <f aca="false">'Assumptions &amp; Log'!$F$20+('Assumptions &amp; Log'!$F$21-'Assumptions &amp; Log'!$F$20)*I3/11</f>
        <v>0.203636363636364</v>
      </c>
      <c r="J20" s="27" t="n">
        <f aca="false">'Assumptions &amp; Log'!$F$20+('Assumptions &amp; Log'!$F$21-'Assumptions &amp; Log'!$F$20)*J3/11</f>
        <v>0.210909090909091</v>
      </c>
      <c r="K20" s="27" t="n">
        <f aca="false">'Assumptions &amp; Log'!$F$20+('Assumptions &amp; Log'!$F$21-'Assumptions &amp; Log'!$F$20)*K3/11</f>
        <v>0.218181818181818</v>
      </c>
      <c r="L20" s="27" t="n">
        <f aca="false">'Assumptions &amp; Log'!$F$20+('Assumptions &amp; Log'!$F$21-'Assumptions &amp; Log'!$F$20)*L3/11</f>
        <v>0.225454545454545</v>
      </c>
      <c r="M20" s="27" t="n">
        <f aca="false">'Assumptions &amp; Log'!$F$20+('Assumptions &amp; Log'!$F$21-'Assumptions &amp; Log'!$F$20)*M3/11</f>
        <v>0.232727272727273</v>
      </c>
      <c r="N20" s="27" t="n">
        <f aca="false">'Assumptions &amp; Log'!$F$20+('Assumptions &amp; Log'!$F$21-'Assumptions &amp; Log'!$F$20)*N3/11</f>
        <v>0.24</v>
      </c>
    </row>
    <row r="21" customFormat="false" ht="15" hidden="false" customHeight="true" outlineLevel="0" collapsed="false">
      <c r="B21" s="19" t="s">
        <v>216</v>
      </c>
      <c r="C21" s="25" t="n">
        <f aca="false">C19*C20</f>
        <v>0</v>
      </c>
      <c r="D21" s="25" t="n">
        <f aca="false">D19*D20</f>
        <v>34.1484806246999</v>
      </c>
      <c r="E21" s="25" t="n">
        <f aca="false">E19*E20</f>
        <v>70.9863240708975</v>
      </c>
      <c r="F21" s="25" t="n">
        <f aca="false">F19*F20</f>
        <v>77.2906316433899</v>
      </c>
      <c r="G21" s="25" t="n">
        <f aca="false">G19*G20</f>
        <v>92.0749053680452</v>
      </c>
      <c r="H21" s="25" t="n">
        <f aca="false">H19*H20</f>
        <v>105.559033701243</v>
      </c>
      <c r="I21" s="25" t="n">
        <f aca="false">I19*I20</f>
        <v>107.212457894902</v>
      </c>
      <c r="J21" s="25" t="n">
        <f aca="false">J19*J20</f>
        <v>111.965446094285</v>
      </c>
      <c r="K21" s="25" t="n">
        <f aca="false">K19*K20</f>
        <v>123.975187692749</v>
      </c>
      <c r="L21" s="25" t="n">
        <f aca="false">L19*L20</f>
        <v>141.10749201407</v>
      </c>
      <c r="M21" s="25" t="n">
        <f aca="false">M19*M20</f>
        <v>172.878382857968</v>
      </c>
      <c r="N21" s="25" t="n">
        <f aca="false">N19*N20</f>
        <v>214.672811923914</v>
      </c>
    </row>
    <row r="22" customFormat="false" ht="15" hidden="false" customHeight="true" outlineLevel="0" collapsed="false">
      <c r="B22" s="19" t="s">
        <v>217</v>
      </c>
      <c r="C22" s="27" t="n">
        <f aca="false">'Assumptions &amp; Log'!$F$22+('Assumptions &amp; Log'!$F$23-'Assumptions &amp; Log'!$F$22)*C3/11</f>
        <v>0.09</v>
      </c>
      <c r="D22" s="27" t="n">
        <f aca="false">'Assumptions &amp; Log'!$F$22+('Assumptions &amp; Log'!$F$23-'Assumptions &amp; Log'!$F$22)*D3/11</f>
        <v>0.103636363636364</v>
      </c>
      <c r="E22" s="27" t="n">
        <f aca="false">'Assumptions &amp; Log'!$F$22+('Assumptions &amp; Log'!$F$23-'Assumptions &amp; Log'!$F$22)*E3/11</f>
        <v>0.117272727272727</v>
      </c>
      <c r="F22" s="27" t="n">
        <f aca="false">'Assumptions &amp; Log'!$F$22+('Assumptions &amp; Log'!$F$23-'Assumptions &amp; Log'!$F$22)*F3/11</f>
        <v>0.130909090909091</v>
      </c>
      <c r="G22" s="27" t="n">
        <f aca="false">'Assumptions &amp; Log'!$F$22+('Assumptions &amp; Log'!$F$23-'Assumptions &amp; Log'!$F$22)*G3/11</f>
        <v>0.144545454545455</v>
      </c>
      <c r="H22" s="27" t="n">
        <f aca="false">'Assumptions &amp; Log'!$F$22+('Assumptions &amp; Log'!$F$23-'Assumptions &amp; Log'!$F$22)*H3/11</f>
        <v>0.158181818181818</v>
      </c>
      <c r="I22" s="27" t="n">
        <f aca="false">'Assumptions &amp; Log'!$F$22+('Assumptions &amp; Log'!$F$23-'Assumptions &amp; Log'!$F$22)*I3/11</f>
        <v>0.171818181818182</v>
      </c>
      <c r="J22" s="27" t="n">
        <f aca="false">'Assumptions &amp; Log'!$F$22+('Assumptions &amp; Log'!$F$23-'Assumptions &amp; Log'!$F$22)*J3/11</f>
        <v>0.185454545454545</v>
      </c>
      <c r="K22" s="27" t="n">
        <f aca="false">'Assumptions &amp; Log'!$F$22+('Assumptions &amp; Log'!$F$23-'Assumptions &amp; Log'!$F$22)*K3/11</f>
        <v>0.199090909090909</v>
      </c>
      <c r="L22" s="27" t="n">
        <f aca="false">'Assumptions &amp; Log'!$F$22+('Assumptions &amp; Log'!$F$23-'Assumptions &amp; Log'!$F$22)*L3/11</f>
        <v>0.212727272727273</v>
      </c>
      <c r="M22" s="27" t="n">
        <f aca="false">'Assumptions &amp; Log'!$F$22+('Assumptions &amp; Log'!$F$23-'Assumptions &amp; Log'!$F$22)*M3/11</f>
        <v>0.226363636363636</v>
      </c>
      <c r="N22" s="27" t="n">
        <f aca="false">'Assumptions &amp; Log'!$F$22+('Assumptions &amp; Log'!$F$23-'Assumptions &amp; Log'!$F$22)*N3/11</f>
        <v>0.24</v>
      </c>
    </row>
    <row r="23" customFormat="false" ht="15" hidden="false" customHeight="true" outlineLevel="0" collapsed="false">
      <c r="B23" s="19" t="s">
        <v>218</v>
      </c>
      <c r="C23" s="25" t="n">
        <f aca="false">C15*C22</f>
        <v>18.3733672926375</v>
      </c>
      <c r="D23" s="25" t="n">
        <f aca="false">D15*D22</f>
        <v>20.9909190952704</v>
      </c>
      <c r="E23" s="25" t="n">
        <f aca="false">E15*E22</f>
        <v>26.0995752758647</v>
      </c>
      <c r="F23" s="25" t="n">
        <f aca="false">F15*F22</f>
        <v>34.609755644533</v>
      </c>
      <c r="G23" s="25" t="n">
        <f aca="false">G15*G22</f>
        <v>39.4882390614653</v>
      </c>
      <c r="H23" s="25" t="n">
        <f aca="false">H15*H22</f>
        <v>40.0675610529167</v>
      </c>
      <c r="I23" s="25" t="n">
        <f aca="false">I15*I22</f>
        <v>47.6915686486413</v>
      </c>
      <c r="J23" s="25" t="n">
        <f aca="false">J15*J22</f>
        <v>53.9022957593505</v>
      </c>
      <c r="K23" s="25" t="n">
        <f aca="false">K15*K22</f>
        <v>66.741319298283</v>
      </c>
      <c r="L23" s="25" t="n">
        <f aca="false">L15*L22</f>
        <v>86.7090042932196</v>
      </c>
      <c r="M23" s="25" t="n">
        <f aca="false">M15*M22</f>
        <v>110.208219265405</v>
      </c>
      <c r="N23" s="25" t="n">
        <f aca="false">N15*N22</f>
        <v>130.76387748625</v>
      </c>
    </row>
    <row r="24" customFormat="false" ht="15" hidden="false" customHeight="true" outlineLevel="0" collapsed="false">
      <c r="B24" s="19" t="s">
        <v>219</v>
      </c>
      <c r="C24" s="25" t="n">
        <f aca="false">'Assumptions &amp; Log'!$F$9*'Assumptions &amp; Log'!$F$24+C23</f>
        <v>55.9733672926375</v>
      </c>
      <c r="D24" s="25" t="n">
        <f aca="false">C24*'Assumptions &amp; Log'!$F$24+D23</f>
        <v>65.7696129293804</v>
      </c>
      <c r="E24" s="25" t="n">
        <f aca="false">D24*'Assumptions &amp; Log'!$F$24+E23</f>
        <v>78.715265619369</v>
      </c>
      <c r="F24" s="25" t="n">
        <f aca="false">E24*'Assumptions &amp; Log'!$F$24+F23</f>
        <v>97.5819681400282</v>
      </c>
      <c r="G24" s="25" t="n">
        <f aca="false">F24*'Assumptions &amp; Log'!$F$24+G23</f>
        <v>117.553813573488</v>
      </c>
      <c r="H24" s="25" t="n">
        <f aca="false">G24*'Assumptions &amp; Log'!$F$24+H23</f>
        <v>134.110611911707</v>
      </c>
      <c r="I24" s="25" t="n">
        <f aca="false">H24*'Assumptions &amp; Log'!$F$24+I23</f>
        <v>154.980058178007</v>
      </c>
      <c r="J24" s="25" t="n">
        <f aca="false">I24*'Assumptions &amp; Log'!$F$24+J23</f>
        <v>177.886342301756</v>
      </c>
      <c r="K24" s="25" t="n">
        <f aca="false">J24*'Assumptions &amp; Log'!$F$24+K23</f>
        <v>209.050393139688</v>
      </c>
      <c r="L24" s="25" t="n">
        <f aca="false">K24*'Assumptions &amp; Log'!$F$24+L23</f>
        <v>253.94931880497</v>
      </c>
      <c r="M24" s="25" t="n">
        <f aca="false">L24*'Assumptions &amp; Log'!$F$24+M23</f>
        <v>313.367674309381</v>
      </c>
      <c r="N24" s="25" t="n">
        <f aca="false">M24*'Assumptions &amp; Log'!$F$24+N23</f>
        <v>381.458016933755</v>
      </c>
    </row>
    <row r="25" customFormat="false" ht="15" hidden="false" customHeight="true" outlineLevel="0" collapsed="false">
      <c r="B25" s="19" t="s">
        <v>220</v>
      </c>
      <c r="C25" s="25" t="n">
        <f aca="false">C24</f>
        <v>55.9733672926375</v>
      </c>
      <c r="D25" s="25" t="n">
        <f aca="false">D24</f>
        <v>65.7696129293804</v>
      </c>
      <c r="E25" s="25" t="n">
        <f aca="false">E24</f>
        <v>78.715265619369</v>
      </c>
      <c r="F25" s="25" t="n">
        <f aca="false">F24</f>
        <v>97.5819681400282</v>
      </c>
      <c r="G25" s="25" t="n">
        <f aca="false">G24</f>
        <v>117.553813573488</v>
      </c>
      <c r="H25" s="25" t="n">
        <f aca="false">H24</f>
        <v>134.110611911707</v>
      </c>
      <c r="I25" s="25" t="n">
        <f aca="false">I24</f>
        <v>154.980058178007</v>
      </c>
      <c r="J25" s="25" t="n">
        <f aca="false">J24</f>
        <v>177.886342301756</v>
      </c>
      <c r="K25" s="25" t="n">
        <f aca="false">K24</f>
        <v>209.050393139688</v>
      </c>
      <c r="L25" s="25" t="n">
        <f aca="false">L24</f>
        <v>253.94931880497</v>
      </c>
      <c r="M25" s="25" t="n">
        <f aca="false">M24</f>
        <v>313.367674309381</v>
      </c>
      <c r="N25" s="25" t="n">
        <f aca="false">N24</f>
        <v>381.458016933755</v>
      </c>
    </row>
    <row r="27" customFormat="false" ht="15" hidden="false" customHeight="true" outlineLevel="0" collapsed="false">
      <c r="B27" s="22" t="s">
        <v>221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</row>
    <row r="28" customFormat="false" ht="15" hidden="false" customHeight="true" outlineLevel="0" collapsed="false">
      <c r="B28" s="3" t="s">
        <v>222</v>
      </c>
      <c r="C28" s="26" t="n">
        <f aca="false">C15+C21+C25</f>
        <v>260.121892766387</v>
      </c>
      <c r="D28" s="26" t="n">
        <f aca="false">D15+D21+D25</f>
        <v>302.462049736514</v>
      </c>
      <c r="E28" s="26" t="n">
        <f aca="false">E15+E21+E25</f>
        <v>372.256107546477</v>
      </c>
      <c r="F28" s="26" t="n">
        <f aca="false">F15+F21+F25</f>
        <v>439.2526776236</v>
      </c>
      <c r="G28" s="26" t="n">
        <f aca="false">G15+G21+G25</f>
        <v>482.817794209532</v>
      </c>
      <c r="H28" s="26" t="n">
        <f aca="false">H15+H21+H25</f>
        <v>492.970318935986</v>
      </c>
      <c r="I28" s="26" t="n">
        <f aca="false">I15+I21+I25</f>
        <v>539.762492334842</v>
      </c>
      <c r="J28" s="26" t="n">
        <f aca="false">J15+J21+J25</f>
        <v>580.501422392538</v>
      </c>
      <c r="K28" s="26" t="n">
        <f aca="false">K15+K21+K25</f>
        <v>668.255951737054</v>
      </c>
      <c r="L28" s="26" t="n">
        <f aca="false">L15+L21+L25</f>
        <v>802.663241257251</v>
      </c>
      <c r="M28" s="26" t="n">
        <f aca="false">M15+M21+M25</f>
        <v>973.109676412111</v>
      </c>
      <c r="N28" s="26" t="n">
        <f aca="false">N15+N21+N25</f>
        <v>1140.98031838371</v>
      </c>
    </row>
    <row r="29" customFormat="false" ht="15" hidden="false" customHeight="true" outlineLevel="0" collapsed="false">
      <c r="B29" s="19" t="s">
        <v>223</v>
      </c>
      <c r="C29" s="24" t="n">
        <f aca="false">829*(1+'Assumptions &amp; Log'!$F$25)^C3</f>
        <v>829</v>
      </c>
      <c r="D29" s="24" t="n">
        <f aca="false">829*(1+'Assumptions &amp; Log'!$F$25)^D3</f>
        <v>838.119</v>
      </c>
      <c r="E29" s="24" t="n">
        <f aca="false">829*(1+'Assumptions &amp; Log'!$F$25)^E3</f>
        <v>847.338309</v>
      </c>
      <c r="F29" s="24" t="n">
        <f aca="false">829*(1+'Assumptions &amp; Log'!$F$25)^F3</f>
        <v>856.659030399</v>
      </c>
      <c r="G29" s="24" t="n">
        <f aca="false">829*(1+'Assumptions &amp; Log'!$F$25)^G3</f>
        <v>866.082279733389</v>
      </c>
      <c r="H29" s="24" t="n">
        <f aca="false">829*(1+'Assumptions &amp; Log'!$F$25)^H3</f>
        <v>875.609184810456</v>
      </c>
      <c r="I29" s="24" t="n">
        <f aca="false">829*(1+'Assumptions &amp; Log'!$F$25)^I3</f>
        <v>885.240885843371</v>
      </c>
      <c r="J29" s="24" t="n">
        <f aca="false">829*(1+'Assumptions &amp; Log'!$F$25)^J3</f>
        <v>894.978535587648</v>
      </c>
      <c r="K29" s="24" t="n">
        <f aca="false">829*(1+'Assumptions &amp; Log'!$F$25)^K3</f>
        <v>904.823299479112</v>
      </c>
      <c r="L29" s="24" t="n">
        <f aca="false">829*(1+'Assumptions &amp; Log'!$F$25)^L3</f>
        <v>914.776355773382</v>
      </c>
      <c r="M29" s="24" t="n">
        <f aca="false">829*(1+'Assumptions &amp; Log'!$F$25)^M3</f>
        <v>924.838895686889</v>
      </c>
      <c r="N29" s="24" t="n">
        <f aca="false">829*(1+'Assumptions &amp; Log'!$F$25)^N3</f>
        <v>935.012123539445</v>
      </c>
    </row>
    <row r="30" customFormat="false" ht="15" hidden="false" customHeight="true" outlineLevel="0" collapsed="false">
      <c r="B30" s="19" t="s">
        <v>224</v>
      </c>
      <c r="C30" s="24" t="n">
        <f aca="false">C28*C29</f>
        <v>215641.049103335</v>
      </c>
      <c r="D30" s="24" t="n">
        <f aca="false">D28*D29</f>
        <v>253499.190663117</v>
      </c>
      <c r="E30" s="24" t="n">
        <f aca="false">E28*E29</f>
        <v>315426.860683354</v>
      </c>
      <c r="F30" s="24" t="n">
        <f aca="false">F28*F29</f>
        <v>376289.772913198</v>
      </c>
      <c r="G30" s="24" t="n">
        <f aca="false">G28*G29</f>
        <v>418159.935904838</v>
      </c>
      <c r="H30" s="24" t="n">
        <f aca="false">H28*H29</f>
        <v>431649.339099289</v>
      </c>
      <c r="I30" s="24" t="n">
        <f aca="false">I28*I29</f>
        <v>477819.826859521</v>
      </c>
      <c r="J30" s="24" t="n">
        <f aca="false">J28*J29</f>
        <v>519536.312919421</v>
      </c>
      <c r="K30" s="24" t="n">
        <f aca="false">K28*K29</f>
        <v>604653.555147275</v>
      </c>
      <c r="L30" s="24" t="n">
        <f aca="false">L28*L29</f>
        <v>734257.354750559</v>
      </c>
      <c r="M30" s="24" t="n">
        <f aca="false">M28*M29</f>
        <v>899969.678515203</v>
      </c>
      <c r="N30" s="24" t="n">
        <f aca="false">N28*N29</f>
        <v>1066830.43040867</v>
      </c>
    </row>
    <row r="31" customFormat="false" ht="15" hidden="false" customHeight="true" outlineLevel="0" collapsed="false">
      <c r="B31" s="19" t="s">
        <v>225</v>
      </c>
      <c r="C31" s="25" t="n">
        <f aca="false">IF(C3&gt;='Assumptions &amp; Log'!$F$26,'Assumptions &amp; Log'!$F$29*(C3-'Assumptions &amp; Log'!$F$26+1)*C7,0)</f>
        <v>0</v>
      </c>
      <c r="D31" s="25" t="n">
        <f aca="false">IF(D3&gt;='Assumptions &amp; Log'!$F$26,'Assumptions &amp; Log'!$F$29*(D3-'Assumptions &amp; Log'!$F$26+1)*D7,0)</f>
        <v>81.5833333333333</v>
      </c>
      <c r="E31" s="25" t="n">
        <f aca="false">IF(E3&gt;='Assumptions &amp; Log'!$F$26,'Assumptions &amp; Log'!$F$29*(E3-'Assumptions &amp; Log'!$F$26+1)*E7,0)</f>
        <v>170.5</v>
      </c>
      <c r="F31" s="25" t="n">
        <f aca="false">IF(F3&gt;='Assumptions &amp; Log'!$F$26,'Assumptions &amp; Log'!$F$29*(F3-'Assumptions &amp; Log'!$F$26+1)*F7,0)</f>
        <v>290.125</v>
      </c>
      <c r="G31" s="25" t="n">
        <f aca="false">IF(G3&gt;='Assumptions &amp; Log'!$F$26,'Assumptions &amp; Log'!$F$29*(G3-'Assumptions &amp; Log'!$F$26+1)*G7,0)</f>
        <v>374</v>
      </c>
      <c r="H31" s="25" t="n">
        <f aca="false">IF(H3&gt;='Assumptions &amp; Log'!$F$26,'Assumptions &amp; Log'!$F$29*(H3-'Assumptions &amp; Log'!$F$26+1)*H7,0)</f>
        <v>396.458333333333</v>
      </c>
      <c r="I31" s="25" t="n">
        <f aca="false">IF(I3&gt;='Assumptions &amp; Log'!$F$26,'Assumptions &amp; Log'!$F$29*(I3-'Assumptions &amp; Log'!$F$26+1)*I7,0)</f>
        <v>495</v>
      </c>
      <c r="J31" s="25" t="n">
        <f aca="false">IF(J3&gt;='Assumptions &amp; Log'!$F$26,'Assumptions &amp; Log'!$F$29*(J3-'Assumptions &amp; Log'!$F$26+1)*J7,0)</f>
        <v>567.875</v>
      </c>
      <c r="K31" s="25" t="n">
        <f aca="false">IF(K3&gt;='Assumptions &amp; Log'!$F$26,'Assumptions &amp; Log'!$F$29*(K3-'Assumptions &amp; Log'!$F$26+1)*K7,0)</f>
        <v>722.333333333333</v>
      </c>
      <c r="L31" s="25" t="n">
        <f aca="false">IF(L3&gt;='Assumptions &amp; Log'!$F$26,'Assumptions &amp; Log'!$F$29*(L3-'Assumptions &amp; Log'!$F$26+1)*L7,0)</f>
        <v>965.25</v>
      </c>
      <c r="M31" s="25" t="n">
        <f aca="false">IF(M3&gt;='Assumptions &amp; Log'!$F$26,'Assumptions &amp; Log'!$F$29*(M3-'Assumptions &amp; Log'!$F$26+1)*M7,0)</f>
        <v>1132.08333333333</v>
      </c>
      <c r="N31" s="25" t="n">
        <f aca="false">IF(N3&gt;='Assumptions &amp; Log'!$F$26,'Assumptions &amp; Log'!$F$29*(N3-'Assumptions &amp; Log'!$F$26+1)*N7,0)</f>
        <v>1210</v>
      </c>
    </row>
    <row r="32" customFormat="false" ht="15" hidden="false" customHeight="true" outlineLevel="0" collapsed="false">
      <c r="B32" s="19" t="s">
        <v>226</v>
      </c>
      <c r="C32" s="24" t="n">
        <f aca="false">C31*'Assumptions &amp; Log'!$F$27*(1-'Assumptions &amp; Log'!$F$28)</f>
        <v>0</v>
      </c>
      <c r="D32" s="24" t="n">
        <f aca="false">D31*'Assumptions &amp; Log'!$F$27*(1-'Assumptions &amp; Log'!$F$28)</f>
        <v>47155.1666666667</v>
      </c>
      <c r="E32" s="24" t="n">
        <f aca="false">E31*'Assumptions &amp; Log'!$F$27*(1-'Assumptions &amp; Log'!$F$28)</f>
        <v>98549</v>
      </c>
      <c r="F32" s="24" t="n">
        <f aca="false">F31*'Assumptions &amp; Log'!$F$27*(1-'Assumptions &amp; Log'!$F$28)</f>
        <v>167692.25</v>
      </c>
      <c r="G32" s="24" t="n">
        <f aca="false">G31*'Assumptions &amp; Log'!$F$27*(1-'Assumptions &amp; Log'!$F$28)</f>
        <v>216172</v>
      </c>
      <c r="H32" s="24" t="n">
        <f aca="false">H31*'Assumptions &amp; Log'!$F$27*(1-'Assumptions &amp; Log'!$F$28)</f>
        <v>229152.916666667</v>
      </c>
      <c r="I32" s="24" t="n">
        <f aca="false">I31*'Assumptions &amp; Log'!$F$27*(1-'Assumptions &amp; Log'!$F$28)</f>
        <v>286110</v>
      </c>
      <c r="J32" s="24" t="n">
        <f aca="false">J31*'Assumptions &amp; Log'!$F$27*(1-'Assumptions &amp; Log'!$F$28)</f>
        <v>328231.75</v>
      </c>
      <c r="K32" s="24" t="n">
        <f aca="false">K31*'Assumptions &amp; Log'!$F$27*(1-'Assumptions &amp; Log'!$F$28)</f>
        <v>417508.666666667</v>
      </c>
      <c r="L32" s="24" t="n">
        <f aca="false">L31*'Assumptions &amp; Log'!$F$27*(1-'Assumptions &amp; Log'!$F$28)</f>
        <v>557914.5</v>
      </c>
      <c r="M32" s="24" t="n">
        <f aca="false">M31*'Assumptions &amp; Log'!$F$27*(1-'Assumptions &amp; Log'!$F$28)</f>
        <v>654344.166666667</v>
      </c>
      <c r="N32" s="24" t="n">
        <f aca="false">N31*'Assumptions &amp; Log'!$F$27*(1-'Assumptions &amp; Log'!$F$28)</f>
        <v>699380</v>
      </c>
    </row>
    <row r="33" customFormat="false" ht="15" hidden="false" customHeight="true" outlineLevel="0" collapsed="false">
      <c r="B33" s="19" t="s">
        <v>227</v>
      </c>
      <c r="C33" s="25" t="n">
        <f aca="false">IF(C3&gt;='Assumptions &amp; Log'!$F$30,'Assumptions &amp; Log'!$F$33*(C3-'Assumptions &amp; Log'!$F$30+1)*C7,0)</f>
        <v>0</v>
      </c>
      <c r="D33" s="25" t="n">
        <f aca="false">IF(D3&gt;='Assumptions &amp; Log'!$F$30,'Assumptions &amp; Log'!$F$33*(D3-'Assumptions &amp; Log'!$F$30+1)*D7,0)</f>
        <v>0</v>
      </c>
      <c r="E33" s="25" t="n">
        <f aca="false">IF(E3&gt;='Assumptions &amp; Log'!$F$30,'Assumptions &amp; Log'!$F$33*(E3-'Assumptions &amp; Log'!$F$30+1)*E7,0)</f>
        <v>69.75</v>
      </c>
      <c r="F33" s="25" t="n">
        <f aca="false">IF(F3&gt;='Assumptions &amp; Log'!$F$30,'Assumptions &amp; Log'!$F$33*(F3-'Assumptions &amp; Log'!$F$30+1)*F7,0)</f>
        <v>158.25</v>
      </c>
      <c r="G33" s="25" t="n">
        <f aca="false">IF(G3&gt;='Assumptions &amp; Log'!$F$30,'Assumptions &amp; Log'!$F$33*(G3-'Assumptions &amp; Log'!$F$30+1)*G7,0)</f>
        <v>229.5</v>
      </c>
      <c r="H33" s="25" t="n">
        <f aca="false">IF(H3&gt;='Assumptions &amp; Log'!$F$30,'Assumptions &amp; Log'!$F$33*(H3-'Assumptions &amp; Log'!$F$30+1)*H7,0)</f>
        <v>259.5</v>
      </c>
      <c r="I33" s="25" t="n">
        <f aca="false">IF(I3&gt;='Assumptions &amp; Log'!$F$30,'Assumptions &amp; Log'!$F$33*(I3-'Assumptions &amp; Log'!$F$30+1)*I7,0)</f>
        <v>337.5</v>
      </c>
      <c r="J33" s="25" t="n">
        <f aca="false">IF(J3&gt;='Assumptions &amp; Log'!$F$30,'Assumptions &amp; Log'!$F$33*(J3-'Assumptions &amp; Log'!$F$30+1)*J7,0)</f>
        <v>398.25</v>
      </c>
      <c r="K33" s="25" t="n">
        <f aca="false">IF(K3&gt;='Assumptions &amp; Log'!$F$30,'Assumptions &amp; Log'!$F$33*(K3-'Assumptions &amp; Log'!$F$30+1)*K7,0)</f>
        <v>517.125</v>
      </c>
      <c r="L33" s="25" t="n">
        <f aca="false">IF(L3&gt;='Assumptions &amp; Log'!$F$30,'Assumptions &amp; Log'!$F$33*(L3-'Assumptions &amp; Log'!$F$30+1)*L7,0)</f>
        <v>702</v>
      </c>
      <c r="M33" s="25" t="n">
        <f aca="false">IF(M3&gt;='Assumptions &amp; Log'!$F$30,'Assumptions &amp; Log'!$F$33*(M3-'Assumptions &amp; Log'!$F$30+1)*M7,0)</f>
        <v>833.625</v>
      </c>
      <c r="N33" s="25" t="n">
        <f aca="false">IF(N3&gt;='Assumptions &amp; Log'!$F$30,'Assumptions &amp; Log'!$F$33*(N3-'Assumptions &amp; Log'!$F$30+1)*N7,0)</f>
        <v>900</v>
      </c>
    </row>
    <row r="34" customFormat="false" ht="15" hidden="false" customHeight="true" outlineLevel="0" collapsed="false">
      <c r="B34" s="19" t="s">
        <v>228</v>
      </c>
      <c r="C34" s="24" t="n">
        <f aca="false">C33*'Assumptions &amp; Log'!$F$31*(1-'Assumptions &amp; Log'!$F$32)</f>
        <v>0</v>
      </c>
      <c r="D34" s="24" t="n">
        <f aca="false">D33*'Assumptions &amp; Log'!$F$31*(1-'Assumptions &amp; Log'!$F$32)</f>
        <v>0</v>
      </c>
      <c r="E34" s="24" t="n">
        <f aca="false">E33*'Assumptions &amp; Log'!$F$31*(1-'Assumptions &amp; Log'!$F$32)</f>
        <v>29016</v>
      </c>
      <c r="F34" s="24" t="n">
        <f aca="false">F33*'Assumptions &amp; Log'!$F$31*(1-'Assumptions &amp; Log'!$F$32)</f>
        <v>65832</v>
      </c>
      <c r="G34" s="24" t="n">
        <f aca="false">G33*'Assumptions &amp; Log'!$F$31*(1-'Assumptions &amp; Log'!$F$32)</f>
        <v>95472</v>
      </c>
      <c r="H34" s="24" t="n">
        <f aca="false">H33*'Assumptions &amp; Log'!$F$31*(1-'Assumptions &amp; Log'!$F$32)</f>
        <v>107952</v>
      </c>
      <c r="I34" s="24" t="n">
        <f aca="false">I33*'Assumptions &amp; Log'!$F$31*(1-'Assumptions &amp; Log'!$F$32)</f>
        <v>140400</v>
      </c>
      <c r="J34" s="24" t="n">
        <f aca="false">J33*'Assumptions &amp; Log'!$F$31*(1-'Assumptions &amp; Log'!$F$32)</f>
        <v>165672</v>
      </c>
      <c r="K34" s="24" t="n">
        <f aca="false">K33*'Assumptions &amp; Log'!$F$31*(1-'Assumptions &amp; Log'!$F$32)</f>
        <v>215124</v>
      </c>
      <c r="L34" s="24" t="n">
        <f aca="false">L33*'Assumptions &amp; Log'!$F$31*(1-'Assumptions &amp; Log'!$F$32)</f>
        <v>292032</v>
      </c>
      <c r="M34" s="24" t="n">
        <f aca="false">M33*'Assumptions &amp; Log'!$F$31*(1-'Assumptions &amp; Log'!$F$32)</f>
        <v>346788</v>
      </c>
      <c r="N34" s="24" t="n">
        <f aca="false">N33*'Assumptions &amp; Log'!$F$31*(1-'Assumptions &amp; Log'!$F$32)</f>
        <v>374400</v>
      </c>
    </row>
    <row r="35" customFormat="false" ht="15" hidden="false" customHeight="true" outlineLevel="0" collapsed="false">
      <c r="B35" s="3" t="s">
        <v>229</v>
      </c>
      <c r="C35" s="28" t="n">
        <f aca="false">C30+C32+C34</f>
        <v>215641.049103335</v>
      </c>
      <c r="D35" s="28" t="n">
        <f aca="false">D30+D32+D34</f>
        <v>300654.357329784</v>
      </c>
      <c r="E35" s="28" t="n">
        <f aca="false">E30+E32+E34</f>
        <v>442991.860683354</v>
      </c>
      <c r="F35" s="28" t="n">
        <f aca="false">F30+F32+F34</f>
        <v>609814.022913198</v>
      </c>
      <c r="G35" s="28" t="n">
        <f aca="false">G30+G32+G34</f>
        <v>729803.935904838</v>
      </c>
      <c r="H35" s="28" t="n">
        <f aca="false">H30+H32+H34</f>
        <v>768754.255765956</v>
      </c>
      <c r="I35" s="28" t="n">
        <f aca="false">I30+I32+I34</f>
        <v>904329.826859521</v>
      </c>
      <c r="J35" s="28" t="n">
        <f aca="false">J30+J32+J34</f>
        <v>1013440.06291942</v>
      </c>
      <c r="K35" s="28" t="n">
        <f aca="false">K30+K32+K34</f>
        <v>1237286.22181394</v>
      </c>
      <c r="L35" s="28" t="n">
        <f aca="false">L30+L32+L34</f>
        <v>1584203.85475056</v>
      </c>
      <c r="M35" s="28" t="n">
        <f aca="false">M30+M32+M34</f>
        <v>1901101.84518187</v>
      </c>
      <c r="N35" s="28" t="n">
        <f aca="false">N30+N32+N34</f>
        <v>2140610.43040867</v>
      </c>
    </row>
    <row r="37" customFormat="false" ht="15" hidden="false" customHeight="true" outlineLevel="0" collapsed="false">
      <c r="B37" s="22" t="s">
        <v>230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</row>
    <row r="38" customFormat="false" ht="15" hidden="false" customHeight="true" outlineLevel="0" collapsed="false">
      <c r="B38" s="19" t="s">
        <v>231</v>
      </c>
      <c r="C38" s="21" t="n">
        <f aca="false">6.2+1.4*C3/11</f>
        <v>6.2</v>
      </c>
      <c r="D38" s="21" t="n">
        <f aca="false">6.2+1.4*D3/11</f>
        <v>6.32727272727273</v>
      </c>
      <c r="E38" s="21" t="n">
        <f aca="false">6.2+1.4*E3/11</f>
        <v>6.45454545454546</v>
      </c>
      <c r="F38" s="21" t="n">
        <f aca="false">6.2+1.4*F3/11</f>
        <v>6.58181818181818</v>
      </c>
      <c r="G38" s="21" t="n">
        <f aca="false">6.2+1.4*G3/11</f>
        <v>6.70909090909091</v>
      </c>
      <c r="H38" s="21" t="n">
        <f aca="false">6.2+1.4*H3/11</f>
        <v>6.83636363636364</v>
      </c>
      <c r="I38" s="21" t="n">
        <f aca="false">6.2+1.4*I3/11</f>
        <v>6.96363636363636</v>
      </c>
      <c r="J38" s="21" t="n">
        <f aca="false">6.2+1.4*J3/11</f>
        <v>7.09090909090909</v>
      </c>
      <c r="K38" s="21" t="n">
        <f aca="false">6.2+1.4*K3/11</f>
        <v>7.21818181818182</v>
      </c>
      <c r="L38" s="21" t="n">
        <f aca="false">6.2+1.4*L3/11</f>
        <v>7.34545454545455</v>
      </c>
      <c r="M38" s="21" t="n">
        <f aca="false">6.2+1.4*M3/11</f>
        <v>7.47272727272727</v>
      </c>
      <c r="N38" s="21" t="n">
        <f aca="false">6.2+1.4*N3/11</f>
        <v>7.6</v>
      </c>
    </row>
    <row r="39" customFormat="false" ht="15" hidden="false" customHeight="true" outlineLevel="0" collapsed="false">
      <c r="B39" s="19" t="s">
        <v>232</v>
      </c>
      <c r="C39" s="24" t="n">
        <f aca="false">C28*C38+C31*5.5+C33*3.5</f>
        <v>1612.7557351516</v>
      </c>
      <c r="D39" s="24" t="n">
        <f aca="false">D28*D38+D31*5.5+D33*3.5</f>
        <v>2362.46821166619</v>
      </c>
      <c r="E39" s="24" t="n">
        <f aca="false">E28*E38+E31*5.5+E33*3.5</f>
        <v>3584.6189668909</v>
      </c>
      <c r="F39" s="24" t="n">
        <f aca="false">F28*F38+F31*5.5+F33*3.5</f>
        <v>5040.64375999533</v>
      </c>
      <c r="G39" s="24" t="n">
        <f aca="false">G28*G38+G31*5.5+G33*3.5</f>
        <v>6099.5184738785</v>
      </c>
      <c r="H39" s="24" t="n">
        <f aca="false">H28*H38+H31*5.5+H33*3.5</f>
        <v>6458.8951955139</v>
      </c>
      <c r="I39" s="24" t="n">
        <f aca="false">I28*I38+I31*5.5+I33*3.5</f>
        <v>7662.4597193499</v>
      </c>
      <c r="J39" s="24" t="n">
        <f aca="false">J28*J38+J31*5.5+J33*3.5</f>
        <v>8633.47031332891</v>
      </c>
      <c r="K39" s="24" t="n">
        <f aca="false">K28*K38+K31*5.5+K33*3.5</f>
        <v>10606.3637940535</v>
      </c>
      <c r="L39" s="24" t="n">
        <f aca="false">L28*L38+L31*5.5+L33*3.5</f>
        <v>13661.8013539624</v>
      </c>
      <c r="M39" s="24" t="n">
        <f aca="false">M28*M38+M31*5.5+M33*3.5</f>
        <v>16415.9290516129</v>
      </c>
      <c r="N39" s="24" t="n">
        <f aca="false">N28*N38+N31*5.5+N33*3.5</f>
        <v>18476.4504197162</v>
      </c>
    </row>
    <row r="40" customFormat="false" ht="15" hidden="false" customHeight="true" outlineLevel="0" collapsed="false">
      <c r="B40" s="19" t="s">
        <v>233</v>
      </c>
      <c r="C40" s="24" t="n">
        <f aca="false">'Assumptions &amp; Log'!$F$10+IF(C3&gt;='Assumptions &amp; Log'!$F$34+'Assumptions &amp; Log'!$F$35,48000,0)+IF(C3&gt;='Assumptions &amp; Log'!$F$36+'Assumptions &amp; Log'!$F$37,48000,0)</f>
        <v>48000</v>
      </c>
      <c r="D40" s="24" t="n">
        <f aca="false">'Assumptions &amp; Log'!$F$10+IF(D3&gt;='Assumptions &amp; Log'!$F$34+'Assumptions &amp; Log'!$F$35,48000,0)+IF(D3&gt;='Assumptions &amp; Log'!$F$36+'Assumptions &amp; Log'!$F$37,48000,0)</f>
        <v>48000</v>
      </c>
      <c r="E40" s="24" t="n">
        <f aca="false">'Assumptions &amp; Log'!$F$10+IF(E3&gt;='Assumptions &amp; Log'!$F$34+'Assumptions &amp; Log'!$F$35,48000,0)+IF(E3&gt;='Assumptions &amp; Log'!$F$36+'Assumptions &amp; Log'!$F$37,48000,0)</f>
        <v>48000</v>
      </c>
      <c r="F40" s="24" t="n">
        <f aca="false">'Assumptions &amp; Log'!$F$10+IF(F3&gt;='Assumptions &amp; Log'!$F$34+'Assumptions &amp; Log'!$F$35,48000,0)+IF(F3&gt;='Assumptions &amp; Log'!$F$36+'Assumptions &amp; Log'!$F$37,48000,0)</f>
        <v>96000</v>
      </c>
      <c r="G40" s="24" t="n">
        <f aca="false">'Assumptions &amp; Log'!$F$10+IF(G3&gt;='Assumptions &amp; Log'!$F$34+'Assumptions &amp; Log'!$F$35,48000,0)+IF(G3&gt;='Assumptions &amp; Log'!$F$36+'Assumptions &amp; Log'!$F$37,48000,0)</f>
        <v>96000</v>
      </c>
      <c r="H40" s="24" t="n">
        <f aca="false">'Assumptions &amp; Log'!$F$10+IF(H3&gt;='Assumptions &amp; Log'!$F$34+'Assumptions &amp; Log'!$F$35,48000,0)+IF(H3&gt;='Assumptions &amp; Log'!$F$36+'Assumptions &amp; Log'!$F$37,48000,0)</f>
        <v>96000</v>
      </c>
      <c r="I40" s="24" t="n">
        <f aca="false">'Assumptions &amp; Log'!$F$10+IF(I3&gt;='Assumptions &amp; Log'!$F$34+'Assumptions &amp; Log'!$F$35,48000,0)+IF(I3&gt;='Assumptions &amp; Log'!$F$36+'Assumptions &amp; Log'!$F$37,48000,0)</f>
        <v>96000</v>
      </c>
      <c r="J40" s="24" t="n">
        <f aca="false">'Assumptions &amp; Log'!$F$10+IF(J3&gt;='Assumptions &amp; Log'!$F$34+'Assumptions &amp; Log'!$F$35,48000,0)+IF(J3&gt;='Assumptions &amp; Log'!$F$36+'Assumptions &amp; Log'!$F$37,48000,0)</f>
        <v>96000</v>
      </c>
      <c r="K40" s="24" t="n">
        <f aca="false">'Assumptions &amp; Log'!$F$10+IF(K3&gt;='Assumptions &amp; Log'!$F$34+'Assumptions &amp; Log'!$F$35,48000,0)+IF(K3&gt;='Assumptions &amp; Log'!$F$36+'Assumptions &amp; Log'!$F$37,48000,0)</f>
        <v>96000</v>
      </c>
      <c r="L40" s="24" t="n">
        <f aca="false">'Assumptions &amp; Log'!$F$10+IF(L3&gt;='Assumptions &amp; Log'!$F$34+'Assumptions &amp; Log'!$F$35,48000,0)+IF(L3&gt;='Assumptions &amp; Log'!$F$36+'Assumptions &amp; Log'!$F$37,48000,0)</f>
        <v>96000</v>
      </c>
      <c r="M40" s="24" t="n">
        <f aca="false">'Assumptions &amp; Log'!$F$10+IF(M3&gt;='Assumptions &amp; Log'!$F$34+'Assumptions &amp; Log'!$F$35,48000,0)+IF(M3&gt;='Assumptions &amp; Log'!$F$36+'Assumptions &amp; Log'!$F$37,48000,0)</f>
        <v>144000</v>
      </c>
      <c r="N40" s="24" t="n">
        <f aca="false">'Assumptions &amp; Log'!$F$10+IF(N3&gt;='Assumptions &amp; Log'!$F$34+'Assumptions &amp; Log'!$F$35,48000,0)+IF(N3&gt;='Assumptions &amp; Log'!$F$36+'Assumptions &amp; Log'!$F$37,48000,0)</f>
        <v>144000</v>
      </c>
    </row>
    <row r="41" customFormat="false" ht="15" hidden="false" customHeight="true" outlineLevel="0" collapsed="false">
      <c r="B41" s="19" t="s">
        <v>234</v>
      </c>
      <c r="C41" s="24" t="n">
        <f aca="false">C40-C39</f>
        <v>46387.2442648484</v>
      </c>
      <c r="D41" s="24" t="n">
        <f aca="false">D40-D39</f>
        <v>45637.5317883338</v>
      </c>
      <c r="E41" s="24" t="n">
        <f aca="false">E40-E39</f>
        <v>44415.3810331091</v>
      </c>
      <c r="F41" s="24" t="n">
        <f aca="false">F40-F39</f>
        <v>90959.3562400047</v>
      </c>
      <c r="G41" s="24" t="n">
        <f aca="false">G40-G39</f>
        <v>89900.4815261215</v>
      </c>
      <c r="H41" s="24" t="n">
        <f aca="false">H40-H39</f>
        <v>89541.1048044861</v>
      </c>
      <c r="I41" s="24" t="n">
        <f aca="false">I40-I39</f>
        <v>88337.5402806501</v>
      </c>
      <c r="J41" s="24" t="n">
        <f aca="false">J40-J39</f>
        <v>87366.5296866711</v>
      </c>
      <c r="K41" s="24" t="n">
        <f aca="false">K40-K39</f>
        <v>85393.6362059465</v>
      </c>
      <c r="L41" s="24" t="n">
        <f aca="false">L40-L39</f>
        <v>82338.1986460377</v>
      </c>
      <c r="M41" s="24" t="n">
        <f aca="false">M40-M39</f>
        <v>127584.070948387</v>
      </c>
      <c r="N41" s="24" t="n">
        <f aca="false">N40-N39</f>
        <v>125523.549580284</v>
      </c>
    </row>
    <row r="43" customFormat="false" ht="15" hidden="false" customHeight="true" outlineLevel="0" collapsed="false">
      <c r="B43" s="22" t="s">
        <v>235</v>
      </c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</row>
    <row r="44" customFormat="false" ht="15" hidden="false" customHeight="true" outlineLevel="0" collapsed="false">
      <c r="B44" s="19" t="s">
        <v>236</v>
      </c>
      <c r="C44" s="25" t="n">
        <f aca="false">'Assumptions &amp; Log'!$F$41+('Assumptions &amp; Log'!$F$42-'Assumptions &amp; Log'!$F$41)*C3/11</f>
        <v>52</v>
      </c>
      <c r="D44" s="25" t="n">
        <f aca="false">'Assumptions &amp; Log'!$F$41+('Assumptions &amp; Log'!$F$42-'Assumptions &amp; Log'!$F$41)*D3/11</f>
        <v>51.5454545454546</v>
      </c>
      <c r="E44" s="25" t="n">
        <f aca="false">'Assumptions &amp; Log'!$F$41+('Assumptions &amp; Log'!$F$42-'Assumptions &amp; Log'!$F$41)*E3/11</f>
        <v>51.0909090909091</v>
      </c>
      <c r="F44" s="25" t="n">
        <f aca="false">'Assumptions &amp; Log'!$F$41+('Assumptions &amp; Log'!$F$42-'Assumptions &amp; Log'!$F$41)*F3/11</f>
        <v>50.6363636363636</v>
      </c>
      <c r="G44" s="25" t="n">
        <f aca="false">'Assumptions &amp; Log'!$F$41+('Assumptions &amp; Log'!$F$42-'Assumptions &amp; Log'!$F$41)*G3/11</f>
        <v>50.1818181818182</v>
      </c>
      <c r="H44" s="25" t="n">
        <f aca="false">'Assumptions &amp; Log'!$F$41+('Assumptions &amp; Log'!$F$42-'Assumptions &amp; Log'!$F$41)*H3/11</f>
        <v>49.7272727272727</v>
      </c>
      <c r="I44" s="25" t="n">
        <f aca="false">'Assumptions &amp; Log'!$F$41+('Assumptions &amp; Log'!$F$42-'Assumptions &amp; Log'!$F$41)*I3/11</f>
        <v>49.2727272727273</v>
      </c>
      <c r="J44" s="25" t="n">
        <f aca="false">'Assumptions &amp; Log'!$F$41+('Assumptions &amp; Log'!$F$42-'Assumptions &amp; Log'!$F$41)*J3/11</f>
        <v>48.8181818181818</v>
      </c>
      <c r="K44" s="25" t="n">
        <f aca="false">'Assumptions &amp; Log'!$F$41+('Assumptions &amp; Log'!$F$42-'Assumptions &amp; Log'!$F$41)*K3/11</f>
        <v>48.3636363636364</v>
      </c>
      <c r="L44" s="25" t="n">
        <f aca="false">'Assumptions &amp; Log'!$F$41+('Assumptions &amp; Log'!$F$42-'Assumptions &amp; Log'!$F$41)*L3/11</f>
        <v>47.9090909090909</v>
      </c>
      <c r="M44" s="25" t="n">
        <f aca="false">'Assumptions &amp; Log'!$F$41+('Assumptions &amp; Log'!$F$42-'Assumptions &amp; Log'!$F$41)*M3/11</f>
        <v>47.4545454545455</v>
      </c>
      <c r="N44" s="25" t="n">
        <f aca="false">'Assumptions &amp; Log'!$F$41+('Assumptions &amp; Log'!$F$42-'Assumptions &amp; Log'!$F$41)*N3/11</f>
        <v>47</v>
      </c>
    </row>
    <row r="45" customFormat="false" ht="15" hidden="false" customHeight="true" outlineLevel="0" collapsed="false">
      <c r="B45" s="19" t="s">
        <v>237</v>
      </c>
      <c r="C45" s="24" t="n">
        <f aca="false">C39*C44</f>
        <v>83863.2982278832</v>
      </c>
      <c r="D45" s="24" t="n">
        <f aca="false">D39*D44</f>
        <v>121774.497819521</v>
      </c>
      <c r="E45" s="24" t="n">
        <f aca="false">E39*E44</f>
        <v>183141.441762971</v>
      </c>
      <c r="F45" s="24" t="n">
        <f aca="false">F39*F44</f>
        <v>255239.870392491</v>
      </c>
      <c r="G45" s="24" t="n">
        <f aca="false">G39*G44</f>
        <v>306084.927052812</v>
      </c>
      <c r="H45" s="24" t="n">
        <f aca="false">H39*H44</f>
        <v>321183.242904191</v>
      </c>
      <c r="I45" s="24" t="n">
        <f aca="false">I39*I44</f>
        <v>377550.287989786</v>
      </c>
      <c r="J45" s="24" t="n">
        <f aca="false">J39*J44</f>
        <v>421470.323477966</v>
      </c>
      <c r="K45" s="24" t="n">
        <f aca="false">K39*K44</f>
        <v>512962.321676043</v>
      </c>
      <c r="L45" s="24" t="n">
        <f aca="false">L39*L44</f>
        <v>654524.483048924</v>
      </c>
      <c r="M45" s="24" t="n">
        <f aca="false">M39*M44</f>
        <v>779010.451358359</v>
      </c>
      <c r="N45" s="24" t="n">
        <f aca="false">N39*N44</f>
        <v>868393.169726662</v>
      </c>
    </row>
    <row r="46" customFormat="false" ht="15" hidden="false" customHeight="true" outlineLevel="0" collapsed="false">
      <c r="B46" s="19" t="s">
        <v>238</v>
      </c>
      <c r="C46" s="25" t="n">
        <f aca="false">'Assumptions &amp; Log'!$F$43+('Assumptions &amp; Log'!$F$44-'Assumptions &amp; Log'!$F$43)*C3/11</f>
        <v>76</v>
      </c>
      <c r="D46" s="25" t="n">
        <f aca="false">'Assumptions &amp; Log'!$F$43+('Assumptions &amp; Log'!$F$44-'Assumptions &amp; Log'!$F$43)*D3/11</f>
        <v>74.9090909090909</v>
      </c>
      <c r="E46" s="25" t="n">
        <f aca="false">'Assumptions &amp; Log'!$F$43+('Assumptions &amp; Log'!$F$44-'Assumptions &amp; Log'!$F$43)*E3/11</f>
        <v>73.8181818181818</v>
      </c>
      <c r="F46" s="25" t="n">
        <f aca="false">'Assumptions &amp; Log'!$F$43+('Assumptions &amp; Log'!$F$44-'Assumptions &amp; Log'!$F$43)*F3/11</f>
        <v>72.7272727272727</v>
      </c>
      <c r="G46" s="25" t="n">
        <f aca="false">'Assumptions &amp; Log'!$F$43+('Assumptions &amp; Log'!$F$44-'Assumptions &amp; Log'!$F$43)*G3/11</f>
        <v>71.6363636363636</v>
      </c>
      <c r="H46" s="25" t="n">
        <f aca="false">'Assumptions &amp; Log'!$F$43+('Assumptions &amp; Log'!$F$44-'Assumptions &amp; Log'!$F$43)*H3/11</f>
        <v>70.5454545454546</v>
      </c>
      <c r="I46" s="25" t="n">
        <f aca="false">'Assumptions &amp; Log'!$F$43+('Assumptions &amp; Log'!$F$44-'Assumptions &amp; Log'!$F$43)*I3/11</f>
        <v>69.4545454545455</v>
      </c>
      <c r="J46" s="25" t="n">
        <f aca="false">'Assumptions &amp; Log'!$F$43+('Assumptions &amp; Log'!$F$44-'Assumptions &amp; Log'!$F$43)*J3/11</f>
        <v>68.3636363636364</v>
      </c>
      <c r="K46" s="25" t="n">
        <f aca="false">'Assumptions &amp; Log'!$F$43+('Assumptions &amp; Log'!$F$44-'Assumptions &amp; Log'!$F$43)*K3/11</f>
        <v>67.2727272727273</v>
      </c>
      <c r="L46" s="25" t="n">
        <f aca="false">'Assumptions &amp; Log'!$F$43+('Assumptions &amp; Log'!$F$44-'Assumptions &amp; Log'!$F$43)*L3/11</f>
        <v>66.1818181818182</v>
      </c>
      <c r="M46" s="25" t="n">
        <f aca="false">'Assumptions &amp; Log'!$F$43+('Assumptions &amp; Log'!$F$44-'Assumptions &amp; Log'!$F$43)*M3/11</f>
        <v>65.0909090909091</v>
      </c>
      <c r="N46" s="25" t="n">
        <f aca="false">'Assumptions &amp; Log'!$F$43+('Assumptions &amp; Log'!$F$44-'Assumptions &amp; Log'!$F$43)*N3/11</f>
        <v>64</v>
      </c>
    </row>
    <row r="47" customFormat="false" ht="15" hidden="false" customHeight="true" outlineLevel="0" collapsed="false">
      <c r="B47" s="19" t="s">
        <v>239</v>
      </c>
      <c r="C47" s="24" t="n">
        <f aca="false">(C28+C31+C33)*C46*0.6</f>
        <v>11861.5583101473</v>
      </c>
      <c r="D47" s="24" t="n">
        <f aca="false">(D28+D31+D33)*D46*0.6</f>
        <v>17261.0943081575</v>
      </c>
      <c r="E47" s="24" t="n">
        <f aca="false">(E28+E31+E33)*E46*0.6</f>
        <v>27128.4523269676</v>
      </c>
      <c r="F47" s="24" t="n">
        <f aca="false">(F28+F31+F33)*F46*0.6</f>
        <v>38732.8441144844</v>
      </c>
      <c r="G47" s="24" t="n">
        <f aca="false">(G28+G31+G33)*G46*0.6</f>
        <v>46691.9139183879</v>
      </c>
      <c r="H47" s="24" t="n">
        <f aca="false">(H28+H31+H33)*H46*0.6</f>
        <v>48631.0164087814</v>
      </c>
      <c r="I47" s="24" t="n">
        <f aca="false">(I28+I31+I33)*I46*0.6</f>
        <v>57185.9205896629</v>
      </c>
      <c r="J47" s="24" t="n">
        <f aca="false">(J28+J31+J33)*J46*0.6</f>
        <v>63439.8037985012</v>
      </c>
      <c r="K47" s="24" t="n">
        <f aca="false">(K28+K31+K33)*K46*0.6</f>
        <v>77002.2856882956</v>
      </c>
      <c r="L47" s="24" t="n">
        <f aca="false">(L28+L31+L33)*L46*0.6</f>
        <v>98078.0094346516</v>
      </c>
      <c r="M47" s="24" t="n">
        <f aca="false">(M28+M31+M33)*M46*0.6</f>
        <v>114774.20154424</v>
      </c>
      <c r="N47" s="24" t="n">
        <f aca="false">(N28+N31+N33)*N46*0.6</f>
        <v>124837.644225934</v>
      </c>
    </row>
    <row r="48" customFormat="false" ht="15" hidden="false" customHeight="true" outlineLevel="0" collapsed="false">
      <c r="B48" s="19" t="s">
        <v>240</v>
      </c>
      <c r="C48" s="24" t="n">
        <f aca="false">C35*'Assumptions &amp; Log'!$F$45</f>
        <v>4312.8209820667</v>
      </c>
      <c r="D48" s="24" t="n">
        <f aca="false">D35*'Assumptions &amp; Log'!$F$45</f>
        <v>6013.08714659568</v>
      </c>
      <c r="E48" s="24" t="n">
        <f aca="false">E35*'Assumptions &amp; Log'!$F$45</f>
        <v>8859.83721366708</v>
      </c>
      <c r="F48" s="24" t="n">
        <f aca="false">F35*'Assumptions &amp; Log'!$F$45</f>
        <v>12196.280458264</v>
      </c>
      <c r="G48" s="24" t="n">
        <f aca="false">G35*'Assumptions &amp; Log'!$F$45</f>
        <v>14596.0787180968</v>
      </c>
      <c r="H48" s="24" t="n">
        <f aca="false">H35*'Assumptions &amp; Log'!$F$45</f>
        <v>15375.0851153191</v>
      </c>
      <c r="I48" s="24" t="n">
        <f aca="false">I35*'Assumptions &amp; Log'!$F$45</f>
        <v>18086.5965371904</v>
      </c>
      <c r="J48" s="24" t="n">
        <f aca="false">J35*'Assumptions &amp; Log'!$F$45</f>
        <v>20268.8012583884</v>
      </c>
      <c r="K48" s="24" t="n">
        <f aca="false">K35*'Assumptions &amp; Log'!$F$45</f>
        <v>24745.7244362788</v>
      </c>
      <c r="L48" s="24" t="n">
        <f aca="false">L35*'Assumptions &amp; Log'!$F$45</f>
        <v>31684.0770950112</v>
      </c>
      <c r="M48" s="24" t="n">
        <f aca="false">M35*'Assumptions &amp; Log'!$F$45</f>
        <v>38022.0369036374</v>
      </c>
      <c r="N48" s="24" t="n">
        <f aca="false">N35*'Assumptions &amp; Log'!$F$45</f>
        <v>42812.2086081733</v>
      </c>
    </row>
    <row r="49" customFormat="false" ht="15" hidden="false" customHeight="true" outlineLevel="0" collapsed="false">
      <c r="B49" s="19" t="s">
        <v>241</v>
      </c>
      <c r="C49" s="24" t="n">
        <f aca="false">C28*'Assumptions &amp; Log'!$F$46</f>
        <v>5722.68164086052</v>
      </c>
      <c r="D49" s="24" t="n">
        <f aca="false">D28*'Assumptions &amp; Log'!$F$46</f>
        <v>6654.16509420331</v>
      </c>
      <c r="E49" s="24" t="n">
        <f aca="false">E28*'Assumptions &amp; Log'!$F$46</f>
        <v>8189.63436602249</v>
      </c>
      <c r="F49" s="24" t="n">
        <f aca="false">F28*'Assumptions &amp; Log'!$F$46</f>
        <v>9663.55890771921</v>
      </c>
      <c r="G49" s="24" t="n">
        <f aca="false">G28*'Assumptions &amp; Log'!$F$46</f>
        <v>10621.9914726097</v>
      </c>
      <c r="H49" s="24" t="n">
        <f aca="false">H28*'Assumptions &amp; Log'!$F$46</f>
        <v>10845.3470165917</v>
      </c>
      <c r="I49" s="24" t="n">
        <f aca="false">I28*'Assumptions &amp; Log'!$F$46</f>
        <v>11874.7748313665</v>
      </c>
      <c r="J49" s="24" t="n">
        <f aca="false">J28*'Assumptions &amp; Log'!$F$46</f>
        <v>12771.0312926358</v>
      </c>
      <c r="K49" s="24" t="n">
        <f aca="false">K28*'Assumptions &amp; Log'!$F$46</f>
        <v>14701.6309382152</v>
      </c>
      <c r="L49" s="24" t="n">
        <f aca="false">L28*'Assumptions &amp; Log'!$F$46</f>
        <v>17658.5913076595</v>
      </c>
      <c r="M49" s="24" t="n">
        <f aca="false">M28*'Assumptions &amp; Log'!$F$46</f>
        <v>21408.4128810665</v>
      </c>
      <c r="N49" s="24" t="n">
        <f aca="false">N28*'Assumptions &amp; Log'!$F$46</f>
        <v>25101.5670044416</v>
      </c>
    </row>
    <row r="50" customFormat="false" ht="15" hidden="false" customHeight="true" outlineLevel="0" collapsed="false">
      <c r="B50" s="3" t="s">
        <v>242</v>
      </c>
      <c r="C50" s="28" t="n">
        <f aca="false">C35-C45-C47-C48-C49</f>
        <v>109880.689942377</v>
      </c>
      <c r="D50" s="28" t="n">
        <f aca="false">D35-D45-D47-D48-D49</f>
        <v>148951.512961307</v>
      </c>
      <c r="E50" s="28" t="n">
        <f aca="false">E35-E45-E47-E48-E49</f>
        <v>215672.495013725</v>
      </c>
      <c r="F50" s="28" t="n">
        <f aca="false">F35-F45-F47-F48-F49</f>
        <v>293981.469040239</v>
      </c>
      <c r="G50" s="28" t="n">
        <f aca="false">G35-G45-G47-G48-G49</f>
        <v>351809.024742932</v>
      </c>
      <c r="H50" s="28" t="n">
        <f aca="false">H35-H45-H47-H48-H49</f>
        <v>372719.564321073</v>
      </c>
      <c r="I50" s="28" t="n">
        <f aca="false">I35-I45-I47-I48-I49</f>
        <v>439632.246911515</v>
      </c>
      <c r="J50" s="28" t="n">
        <f aca="false">J35-J45-J47-J48-J49</f>
        <v>495490.103091929</v>
      </c>
      <c r="K50" s="28" t="n">
        <f aca="false">K35-K45-K47-K48-K49</f>
        <v>607874.259075109</v>
      </c>
      <c r="L50" s="28" t="n">
        <f aca="false">L35-L45-L47-L48-L49</f>
        <v>782258.693864313</v>
      </c>
      <c r="M50" s="28" t="n">
        <f aca="false">M35-M45-M47-M48-M49</f>
        <v>947886.742494567</v>
      </c>
      <c r="N50" s="28" t="n">
        <f aca="false">N35-N45-N47-N48-N49</f>
        <v>1079465.84084345</v>
      </c>
    </row>
    <row r="51" customFormat="false" ht="15" hidden="false" customHeight="true" outlineLevel="0" collapsed="false">
      <c r="B51" s="19" t="s">
        <v>243</v>
      </c>
      <c r="C51" s="27" t="n">
        <f aca="false">C50/C35</f>
        <v>0.509553679131484</v>
      </c>
      <c r="D51" s="27" t="n">
        <f aca="false">D50/D35</f>
        <v>0.49542442785196</v>
      </c>
      <c r="E51" s="27" t="n">
        <f aca="false">E50/E35</f>
        <v>0.486854306264299</v>
      </c>
      <c r="F51" s="27" t="n">
        <f aca="false">F50/F35</f>
        <v>0.48208381243159</v>
      </c>
      <c r="G51" s="27" t="n">
        <f aca="false">G50/G35</f>
        <v>0.482059642918678</v>
      </c>
      <c r="H51" s="27" t="n">
        <f aca="false">H50/H35</f>
        <v>0.484835773624056</v>
      </c>
      <c r="I51" s="27" t="n">
        <f aca="false">I50/I35</f>
        <v>0.486141487158764</v>
      </c>
      <c r="J51" s="27" t="n">
        <f aca="false">J50/J35</f>
        <v>0.488919000956573</v>
      </c>
      <c r="K51" s="27" t="n">
        <f aca="false">K50/K35</f>
        <v>0.491296393961234</v>
      </c>
      <c r="L51" s="27" t="n">
        <f aca="false">L50/L35</f>
        <v>0.493786637066026</v>
      </c>
      <c r="M51" s="27" t="n">
        <f aca="false">M50/M35</f>
        <v>0.498598612639759</v>
      </c>
      <c r="N51" s="27" t="n">
        <f aca="false">N50/N35</f>
        <v>0.504279445483863</v>
      </c>
    </row>
    <row r="53" customFormat="false" ht="15" hidden="false" customHeight="true" outlineLevel="0" collapsed="false">
      <c r="B53" s="22" t="s">
        <v>244</v>
      </c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</row>
    <row r="54" customFormat="false" ht="15" hidden="false" customHeight="true" outlineLevel="0" collapsed="false">
      <c r="B54" s="19" t="s">
        <v>245</v>
      </c>
      <c r="C54" s="24" t="n">
        <f aca="false">IF(C7&gt;=1,8500,6000)</f>
        <v>6000</v>
      </c>
      <c r="D54" s="24" t="n">
        <f aca="false">IF(D7&gt;=1,8500,6000)</f>
        <v>6000</v>
      </c>
      <c r="E54" s="24" t="n">
        <f aca="false">IF(E7&gt;=1,8500,6000)</f>
        <v>6000</v>
      </c>
      <c r="F54" s="24" t="n">
        <f aca="false">IF(F7&gt;=1,8500,6000)</f>
        <v>6000</v>
      </c>
      <c r="G54" s="24" t="n">
        <f aca="false">IF(G7&gt;=1,8500,6000)</f>
        <v>6000</v>
      </c>
      <c r="H54" s="24" t="n">
        <f aca="false">IF(H7&gt;=1,8500,6000)</f>
        <v>6000</v>
      </c>
      <c r="I54" s="24" t="n">
        <f aca="false">IF(I7&gt;=1,8500,6000)</f>
        <v>6000</v>
      </c>
      <c r="J54" s="24" t="n">
        <f aca="false">IF(J7&gt;=1,8500,6000)</f>
        <v>6000</v>
      </c>
      <c r="K54" s="24" t="n">
        <f aca="false">IF(K7&gt;=1,8500,6000)</f>
        <v>6000</v>
      </c>
      <c r="L54" s="24" t="n">
        <f aca="false">IF(L7&gt;=1,8500,6000)</f>
        <v>6000</v>
      </c>
      <c r="M54" s="24" t="n">
        <f aca="false">IF(M7&gt;=1,8500,6000)</f>
        <v>8500</v>
      </c>
      <c r="N54" s="24" t="n">
        <f aca="false">IF(N7&gt;=1,8500,6000)</f>
        <v>8500</v>
      </c>
    </row>
    <row r="55" customFormat="false" ht="15" hidden="false" customHeight="true" outlineLevel="0" collapsed="false">
      <c r="B55" s="19" t="s">
        <v>246</v>
      </c>
      <c r="C55" s="24" t="n">
        <f aca="false">6500+150*C3</f>
        <v>6500</v>
      </c>
      <c r="D55" s="24" t="n">
        <f aca="false">6500+150*D3</f>
        <v>6650</v>
      </c>
      <c r="E55" s="24" t="n">
        <f aca="false">6500+150*E3</f>
        <v>6800</v>
      </c>
      <c r="F55" s="24" t="n">
        <f aca="false">6500+150*F3</f>
        <v>6950</v>
      </c>
      <c r="G55" s="24" t="n">
        <f aca="false">6500+150*G3</f>
        <v>7100</v>
      </c>
      <c r="H55" s="24" t="n">
        <f aca="false">6500+150*H3</f>
        <v>7250</v>
      </c>
      <c r="I55" s="24" t="n">
        <f aca="false">6500+150*I3</f>
        <v>7400</v>
      </c>
      <c r="J55" s="24" t="n">
        <f aca="false">6500+150*J3</f>
        <v>7550</v>
      </c>
      <c r="K55" s="24" t="n">
        <f aca="false">6500+150*K3</f>
        <v>7700</v>
      </c>
      <c r="L55" s="24" t="n">
        <f aca="false">6500+150*L3</f>
        <v>7850</v>
      </c>
      <c r="M55" s="24" t="n">
        <f aca="false">6500+150*M3</f>
        <v>8000</v>
      </c>
      <c r="N55" s="24" t="n">
        <f aca="false">6500+150*N3</f>
        <v>8150</v>
      </c>
    </row>
    <row r="56" customFormat="false" ht="15" hidden="false" customHeight="true" outlineLevel="0" collapsed="false">
      <c r="B56" s="19" t="s">
        <v>247</v>
      </c>
      <c r="C56" s="24" t="n">
        <f aca="false">C10+C54+C55</f>
        <v>127500</v>
      </c>
      <c r="D56" s="24" t="n">
        <f aca="false">D10+D54+D55</f>
        <v>133400</v>
      </c>
      <c r="E56" s="24" t="n">
        <f aca="false">E10+E54+E55</f>
        <v>139587.5</v>
      </c>
      <c r="F56" s="24" t="n">
        <f aca="false">F10+F54+F55</f>
        <v>146076.875</v>
      </c>
      <c r="G56" s="24" t="n">
        <f aca="false">G10+G54+G55</f>
        <v>152883.21875</v>
      </c>
      <c r="H56" s="24" t="n">
        <f aca="false">H10+H54+H55</f>
        <v>160022.3796875</v>
      </c>
      <c r="I56" s="24" t="n">
        <f aca="false">I10+I54+I55</f>
        <v>167510.998671875</v>
      </c>
      <c r="J56" s="24" t="n">
        <f aca="false">J10+J54+J55</f>
        <v>175366.548605469</v>
      </c>
      <c r="K56" s="24" t="n">
        <f aca="false">K10+K54+K55</f>
        <v>183607.376035742</v>
      </c>
      <c r="L56" s="24" t="n">
        <f aca="false">L10+L54+L55</f>
        <v>192252.744837529</v>
      </c>
      <c r="M56" s="24" t="n">
        <f aca="false">M10+M54+M55</f>
        <v>223447.184011534</v>
      </c>
      <c r="N56" s="24" t="n">
        <f aca="false">N10+N54+N55</f>
        <v>256708.733453379</v>
      </c>
    </row>
    <row r="57" customFormat="false" ht="15" hidden="false" customHeight="true" outlineLevel="0" collapsed="false">
      <c r="B57" s="3" t="s">
        <v>248</v>
      </c>
      <c r="C57" s="28" t="n">
        <f aca="false">C50-C56</f>
        <v>-17619.3100576228</v>
      </c>
      <c r="D57" s="28" t="n">
        <f aca="false">D50-D56</f>
        <v>15551.5129613069</v>
      </c>
      <c r="E57" s="28" t="n">
        <f aca="false">E50-E56</f>
        <v>76084.9950137254</v>
      </c>
      <c r="F57" s="28" t="n">
        <f aca="false">F50-F56</f>
        <v>147904.594040239</v>
      </c>
      <c r="G57" s="28" t="n">
        <f aca="false">G50-G56</f>
        <v>198925.805992932</v>
      </c>
      <c r="H57" s="28" t="n">
        <f aca="false">H50-H56</f>
        <v>212697.184633573</v>
      </c>
      <c r="I57" s="28" t="n">
        <f aca="false">I50-I56</f>
        <v>272121.24823964</v>
      </c>
      <c r="J57" s="28" t="n">
        <f aca="false">J50-J56</f>
        <v>320123.554486461</v>
      </c>
      <c r="K57" s="28" t="n">
        <f aca="false">K50-K56</f>
        <v>424266.883039367</v>
      </c>
      <c r="L57" s="28" t="n">
        <f aca="false">L50-L56</f>
        <v>590005.949026784</v>
      </c>
      <c r="M57" s="28" t="n">
        <f aca="false">M50-M56</f>
        <v>724439.558483033</v>
      </c>
      <c r="N57" s="28" t="n">
        <f aca="false">N50-N56</f>
        <v>822757.107390075</v>
      </c>
    </row>
    <row r="58" customFormat="false" ht="15" hidden="false" customHeight="true" outlineLevel="0" collapsed="false">
      <c r="B58" s="19" t="s">
        <v>249</v>
      </c>
      <c r="C58" s="24" t="n">
        <f aca="false">IF(C3&gt;='Assumptions &amp; Log'!$F$49,'Assumptions &amp; Log'!$F$50,0)+IF(C3&gt;='Assumptions &amp; Log'!$F$51,'Assumptions &amp; Log'!$F$52,0)+IF(C3&gt;='Assumptions &amp; Log'!$F$53,'Assumptions &amp; Log'!$F$54,0)</f>
        <v>0</v>
      </c>
      <c r="D58" s="24" t="n">
        <f aca="false">IF(D3&gt;='Assumptions &amp; Log'!$F$49,'Assumptions &amp; Log'!$F$50,0)+IF(D3&gt;='Assumptions &amp; Log'!$F$51,'Assumptions &amp; Log'!$F$52,0)+IF(D3&gt;='Assumptions &amp; Log'!$F$53,'Assumptions &amp; Log'!$F$54,0)</f>
        <v>0</v>
      </c>
      <c r="E58" s="24" t="n">
        <f aca="false">IF(E3&gt;='Assumptions &amp; Log'!$F$49,'Assumptions &amp; Log'!$F$50,0)+IF(E3&gt;='Assumptions &amp; Log'!$F$51,'Assumptions &amp; Log'!$F$52,0)+IF(E3&gt;='Assumptions &amp; Log'!$F$53,'Assumptions &amp; Log'!$F$54,0)</f>
        <v>40000</v>
      </c>
      <c r="F58" s="24" t="n">
        <f aca="false">IF(F3&gt;='Assumptions &amp; Log'!$F$49,'Assumptions &amp; Log'!$F$50,0)+IF(F3&gt;='Assumptions &amp; Log'!$F$51,'Assumptions &amp; Log'!$F$52,0)+IF(F3&gt;='Assumptions &amp; Log'!$F$53,'Assumptions &amp; Log'!$F$54,0)</f>
        <v>40000</v>
      </c>
      <c r="G58" s="24" t="n">
        <f aca="false">IF(G3&gt;='Assumptions &amp; Log'!$F$49,'Assumptions &amp; Log'!$F$50,0)+IF(G3&gt;='Assumptions &amp; Log'!$F$51,'Assumptions &amp; Log'!$F$52,0)+IF(G3&gt;='Assumptions &amp; Log'!$F$53,'Assumptions &amp; Log'!$F$54,0)</f>
        <v>40000</v>
      </c>
      <c r="H58" s="24" t="n">
        <f aca="false">IF(H3&gt;='Assumptions &amp; Log'!$F$49,'Assumptions &amp; Log'!$F$50,0)+IF(H3&gt;='Assumptions &amp; Log'!$F$51,'Assumptions &amp; Log'!$F$52,0)+IF(H3&gt;='Assumptions &amp; Log'!$F$53,'Assumptions &amp; Log'!$F$54,0)</f>
        <v>75000</v>
      </c>
      <c r="I58" s="24" t="n">
        <f aca="false">IF(I3&gt;='Assumptions &amp; Log'!$F$49,'Assumptions &amp; Log'!$F$50,0)+IF(I3&gt;='Assumptions &amp; Log'!$F$51,'Assumptions &amp; Log'!$F$52,0)+IF(I3&gt;='Assumptions &amp; Log'!$F$53,'Assumptions &amp; Log'!$F$54,0)</f>
        <v>75000</v>
      </c>
      <c r="J58" s="24" t="n">
        <f aca="false">IF(J3&gt;='Assumptions &amp; Log'!$F$49,'Assumptions &amp; Log'!$F$50,0)+IF(J3&gt;='Assumptions &amp; Log'!$F$51,'Assumptions &amp; Log'!$F$52,0)+IF(J3&gt;='Assumptions &amp; Log'!$F$53,'Assumptions &amp; Log'!$F$54,0)</f>
        <v>75000</v>
      </c>
      <c r="K58" s="24" t="n">
        <f aca="false">IF(K3&gt;='Assumptions &amp; Log'!$F$49,'Assumptions &amp; Log'!$F$50,0)+IF(K3&gt;='Assumptions &amp; Log'!$F$51,'Assumptions &amp; Log'!$F$52,0)+IF(K3&gt;='Assumptions &amp; Log'!$F$53,'Assumptions &amp; Log'!$F$54,0)</f>
        <v>115000</v>
      </c>
      <c r="L58" s="24" t="n">
        <f aca="false">IF(L3&gt;='Assumptions &amp; Log'!$F$49,'Assumptions &amp; Log'!$F$50,0)+IF(L3&gt;='Assumptions &amp; Log'!$F$51,'Assumptions &amp; Log'!$F$52,0)+IF(L3&gt;='Assumptions &amp; Log'!$F$53,'Assumptions &amp; Log'!$F$54,0)</f>
        <v>115000</v>
      </c>
      <c r="M58" s="24" t="n">
        <f aca="false">IF(M3&gt;='Assumptions &amp; Log'!$F$49,'Assumptions &amp; Log'!$F$50,0)+IF(M3&gt;='Assumptions &amp; Log'!$F$51,'Assumptions &amp; Log'!$F$52,0)+IF(M3&gt;='Assumptions &amp; Log'!$F$53,'Assumptions &amp; Log'!$F$54,0)</f>
        <v>115000</v>
      </c>
      <c r="N58" s="24" t="n">
        <f aca="false">IF(N3&gt;='Assumptions &amp; Log'!$F$49,'Assumptions &amp; Log'!$F$50,0)+IF(N3&gt;='Assumptions &amp; Log'!$F$51,'Assumptions &amp; Log'!$F$52,0)+IF(N3&gt;='Assumptions &amp; Log'!$F$53,'Assumptions &amp; Log'!$F$54,0)</f>
        <v>115000</v>
      </c>
    </row>
    <row r="59" customFormat="false" ht="15" hidden="false" customHeight="true" outlineLevel="0" collapsed="false">
      <c r="B59" s="19" t="s">
        <v>250</v>
      </c>
      <c r="C59" s="24" t="n">
        <f aca="false">110000+C58+18000+9500+8000</f>
        <v>145500</v>
      </c>
      <c r="D59" s="24" t="n">
        <f aca="false">110000+D58+18000+9500+8000</f>
        <v>145500</v>
      </c>
      <c r="E59" s="24" t="n">
        <f aca="false">110000+E58+18000+9500+8000</f>
        <v>185500</v>
      </c>
      <c r="F59" s="24" t="n">
        <f aca="false">110000+F58+18000+9500+8000</f>
        <v>185500</v>
      </c>
      <c r="G59" s="24" t="n">
        <f aca="false">110000+G58+18000+9500+8000</f>
        <v>185500</v>
      </c>
      <c r="H59" s="24" t="n">
        <f aca="false">110000+H58+18000+9500+8000</f>
        <v>220500</v>
      </c>
      <c r="I59" s="24" t="n">
        <f aca="false">110000+I58+18000+9500+8000</f>
        <v>220500</v>
      </c>
      <c r="J59" s="24" t="n">
        <f aca="false">110000+J58+18000+9500+8000</f>
        <v>220500</v>
      </c>
      <c r="K59" s="24" t="n">
        <f aca="false">110000+K58+18000+9500+8000</f>
        <v>260500</v>
      </c>
      <c r="L59" s="24" t="n">
        <f aca="false">110000+L58+18000+9500+8000</f>
        <v>260500</v>
      </c>
      <c r="M59" s="24" t="n">
        <f aca="false">110000+M58+18000+9500+8000</f>
        <v>260500</v>
      </c>
      <c r="N59" s="24" t="n">
        <f aca="false">110000+N58+18000+9500+8000</f>
        <v>260500</v>
      </c>
    </row>
    <row r="60" customFormat="false" ht="15" hidden="false" customHeight="true" outlineLevel="0" collapsed="false">
      <c r="B60" s="3" t="s">
        <v>251</v>
      </c>
      <c r="C60" s="28" t="n">
        <f aca="false">C57-C59</f>
        <v>-163119.310057623</v>
      </c>
      <c r="D60" s="28" t="n">
        <f aca="false">D57-D59</f>
        <v>-129948.487038693</v>
      </c>
      <c r="E60" s="28" t="n">
        <f aca="false">E57-E59</f>
        <v>-109415.004986275</v>
      </c>
      <c r="F60" s="28" t="n">
        <f aca="false">F57-F59</f>
        <v>-37595.4059597605</v>
      </c>
      <c r="G60" s="28" t="n">
        <f aca="false">G57-G59</f>
        <v>13425.8059929315</v>
      </c>
      <c r="H60" s="28" t="n">
        <f aca="false">H57-H59</f>
        <v>-7802.81536642707</v>
      </c>
      <c r="I60" s="28" t="n">
        <f aca="false">I57-I59</f>
        <v>51621.2482396403</v>
      </c>
      <c r="J60" s="28" t="n">
        <f aca="false">J57-J59</f>
        <v>99623.5544864607</v>
      </c>
      <c r="K60" s="28" t="n">
        <f aca="false">K57-K59</f>
        <v>163766.883039367</v>
      </c>
      <c r="L60" s="28" t="n">
        <f aca="false">L57-L59</f>
        <v>329505.949026784</v>
      </c>
      <c r="M60" s="28" t="n">
        <f aca="false">M57-M59</f>
        <v>463939.558483033</v>
      </c>
      <c r="N60" s="28" t="n">
        <f aca="false">N57-N59</f>
        <v>562257.107390075</v>
      </c>
    </row>
    <row r="62" customFormat="false" ht="15" hidden="false" customHeight="true" outlineLevel="0" collapsed="false">
      <c r="B62" s="22" t="s">
        <v>252</v>
      </c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</row>
    <row r="63" customFormat="false" ht="15" hidden="false" customHeight="true" outlineLevel="0" collapsed="false">
      <c r="B63" s="19" t="s">
        <v>253</v>
      </c>
      <c r="C63" s="24" t="n">
        <f aca="false">C45*'Assumptions &amp; Log'!$F$47</f>
        <v>12579.4947341825</v>
      </c>
      <c r="D63" s="24" t="n">
        <f aca="false">D45*'Assumptions &amp; Log'!$F$47</f>
        <v>18266.1746729281</v>
      </c>
      <c r="E63" s="24" t="n">
        <f aca="false">E45*'Assumptions &amp; Log'!$F$47</f>
        <v>27471.2162644457</v>
      </c>
      <c r="F63" s="24" t="n">
        <f aca="false">F45*'Assumptions &amp; Log'!$F$47</f>
        <v>38285.9805588736</v>
      </c>
      <c r="G63" s="24" t="n">
        <f aca="false">G45*'Assumptions &amp; Log'!$F$47</f>
        <v>45912.7390579218</v>
      </c>
      <c r="H63" s="24" t="n">
        <f aca="false">H45*'Assumptions &amp; Log'!$F$47</f>
        <v>48177.4864356286</v>
      </c>
      <c r="I63" s="24" t="n">
        <f aca="false">I45*'Assumptions &amp; Log'!$F$47</f>
        <v>56632.5431984679</v>
      </c>
      <c r="J63" s="24" t="n">
        <f aca="false">J45*'Assumptions &amp; Log'!$F$47</f>
        <v>63220.5485216949</v>
      </c>
      <c r="K63" s="24" t="n">
        <f aca="false">K45*'Assumptions &amp; Log'!$F$47</f>
        <v>76944.3482514065</v>
      </c>
      <c r="L63" s="24" t="n">
        <f aca="false">L45*'Assumptions &amp; Log'!$F$47</f>
        <v>98178.6724573385</v>
      </c>
      <c r="M63" s="24" t="n">
        <f aca="false">M45*'Assumptions &amp; Log'!$F$47</f>
        <v>116851.567703754</v>
      </c>
      <c r="N63" s="24" t="n">
        <f aca="false">N45*'Assumptions &amp; Log'!$F$47</f>
        <v>130258.975458999</v>
      </c>
    </row>
    <row r="64" customFormat="false" ht="15" hidden="false" customHeight="true" outlineLevel="0" collapsed="false">
      <c r="B64" s="19" t="s">
        <v>254</v>
      </c>
      <c r="C64" s="24" t="n">
        <f aca="false">IF(C3='Assumptions &amp; Log'!$F$34,'Assumptions &amp; Log'!$F$48,0)+IF(C3='Assumptions &amp; Log'!$F$36,'Assumptions &amp; Log'!$F$48,0)</f>
        <v>0</v>
      </c>
      <c r="D64" s="24" t="n">
        <f aca="false">IF(D3='Assumptions &amp; Log'!$F$34,'Assumptions &amp; Log'!$F$48,0)+IF(D3='Assumptions &amp; Log'!$F$36,'Assumptions &amp; Log'!$F$48,0)</f>
        <v>600000</v>
      </c>
      <c r="E64" s="24" t="n">
        <f aca="false">IF(E3='Assumptions &amp; Log'!$F$34,'Assumptions &amp; Log'!$F$48,0)+IF(E3='Assumptions &amp; Log'!$F$36,'Assumptions &amp; Log'!$F$48,0)</f>
        <v>0</v>
      </c>
      <c r="F64" s="24" t="n">
        <f aca="false">IF(F3='Assumptions &amp; Log'!$F$34,'Assumptions &amp; Log'!$F$48,0)+IF(F3='Assumptions &amp; Log'!$F$36,'Assumptions &amp; Log'!$F$48,0)</f>
        <v>0</v>
      </c>
      <c r="G64" s="24" t="n">
        <f aca="false">IF(G3='Assumptions &amp; Log'!$F$34,'Assumptions &amp; Log'!$F$48,0)+IF(G3='Assumptions &amp; Log'!$F$36,'Assumptions &amp; Log'!$F$48,0)</f>
        <v>0</v>
      </c>
      <c r="H64" s="24" t="n">
        <f aca="false">IF(H3='Assumptions &amp; Log'!$F$34,'Assumptions &amp; Log'!$F$48,0)+IF(H3='Assumptions &amp; Log'!$F$36,'Assumptions &amp; Log'!$F$48,0)</f>
        <v>0</v>
      </c>
      <c r="I64" s="24" t="n">
        <f aca="false">IF(I3='Assumptions &amp; Log'!$F$34,'Assumptions &amp; Log'!$F$48,0)+IF(I3='Assumptions &amp; Log'!$F$36,'Assumptions &amp; Log'!$F$48,0)</f>
        <v>0</v>
      </c>
      <c r="J64" s="24" t="n">
        <f aca="false">IF(J3='Assumptions &amp; Log'!$F$34,'Assumptions &amp; Log'!$F$48,0)+IF(J3='Assumptions &amp; Log'!$F$36,'Assumptions &amp; Log'!$F$48,0)</f>
        <v>600000</v>
      </c>
      <c r="K64" s="24" t="n">
        <f aca="false">IF(K3='Assumptions &amp; Log'!$F$34,'Assumptions &amp; Log'!$F$48,0)+IF(K3='Assumptions &amp; Log'!$F$36,'Assumptions &amp; Log'!$F$48,0)</f>
        <v>0</v>
      </c>
      <c r="L64" s="24" t="n">
        <f aca="false">IF(L3='Assumptions &amp; Log'!$F$34,'Assumptions &amp; Log'!$F$48,0)+IF(L3='Assumptions &amp; Log'!$F$36,'Assumptions &amp; Log'!$F$48,0)</f>
        <v>0</v>
      </c>
      <c r="M64" s="24" t="n">
        <f aca="false">IF(M3='Assumptions &amp; Log'!$F$34,'Assumptions &amp; Log'!$F$48,0)+IF(M3='Assumptions &amp; Log'!$F$36,'Assumptions &amp; Log'!$F$48,0)</f>
        <v>0</v>
      </c>
      <c r="N64" s="24" t="n">
        <f aca="false">IF(N3='Assumptions &amp; Log'!$F$34,'Assumptions &amp; Log'!$F$48,0)+IF(N3='Assumptions &amp; Log'!$F$36,'Assumptions &amp; Log'!$F$48,0)</f>
        <v>0</v>
      </c>
    </row>
    <row r="65" customFormat="false" ht="15" hidden="false" customHeight="true" outlineLevel="0" collapsed="false">
      <c r="B65" s="19" t="s">
        <v>255</v>
      </c>
      <c r="C65" s="24" t="n">
        <f aca="false">IF(C3='Assumptions &amp; Log'!$F$55,'Assumptions &amp; Log'!$F$56,0)</f>
        <v>0</v>
      </c>
      <c r="D65" s="24" t="n">
        <f aca="false">IF(D3='Assumptions &amp; Log'!$F$55,'Assumptions &amp; Log'!$F$56,0)</f>
        <v>0</v>
      </c>
      <c r="E65" s="24" t="n">
        <f aca="false">IF(E3='Assumptions &amp; Log'!$F$55,'Assumptions &amp; Log'!$F$56,0)</f>
        <v>0</v>
      </c>
      <c r="F65" s="24" t="n">
        <f aca="false">IF(F3='Assumptions &amp; Log'!$F$55,'Assumptions &amp; Log'!$F$56,0)</f>
        <v>0</v>
      </c>
      <c r="G65" s="24" t="n">
        <f aca="false">IF(G3='Assumptions &amp; Log'!$F$55,'Assumptions &amp; Log'!$F$56,0)</f>
        <v>0</v>
      </c>
      <c r="H65" s="24" t="n">
        <f aca="false">IF(H3='Assumptions &amp; Log'!$F$55,'Assumptions &amp; Log'!$F$56,0)</f>
        <v>0</v>
      </c>
      <c r="I65" s="24" t="n">
        <f aca="false">IF(I3='Assumptions &amp; Log'!$F$55,'Assumptions &amp; Log'!$F$56,0)</f>
        <v>0</v>
      </c>
      <c r="J65" s="24" t="n">
        <f aca="false">IF(J3='Assumptions &amp; Log'!$F$55,'Assumptions &amp; Log'!$F$56,0)</f>
        <v>0</v>
      </c>
      <c r="K65" s="24" t="n">
        <f aca="false">IF(K3='Assumptions &amp; Log'!$F$55,'Assumptions &amp; Log'!$F$56,0)</f>
        <v>0</v>
      </c>
      <c r="L65" s="24" t="n">
        <f aca="false">IF(L3='Assumptions &amp; Log'!$F$55,'Assumptions &amp; Log'!$F$56,0)</f>
        <v>0</v>
      </c>
      <c r="M65" s="24" t="n">
        <f aca="false">IF(M3='Assumptions &amp; Log'!$F$55,'Assumptions &amp; Log'!$F$56,0)</f>
        <v>0</v>
      </c>
      <c r="N65" s="24" t="n">
        <f aca="false">IF(N3='Assumptions &amp; Log'!$F$55,'Assumptions &amp; Log'!$F$56,0)</f>
        <v>0</v>
      </c>
    </row>
    <row r="66" customFormat="false" ht="15" hidden="false" customHeight="true" outlineLevel="0" collapsed="false">
      <c r="B66" s="19" t="s">
        <v>256</v>
      </c>
      <c r="C66" s="24" t="n">
        <f aca="false">'Assumptions &amp; Log'!$F$6</f>
        <v>3140000</v>
      </c>
      <c r="D66" s="24" t="n">
        <f aca="false">C67</f>
        <v>2964301.19520819</v>
      </c>
      <c r="E66" s="24" t="n">
        <f aca="false">D67</f>
        <v>2216086.53349657</v>
      </c>
      <c r="F66" s="24" t="n">
        <f aca="false">E67</f>
        <v>2079200.31224585</v>
      </c>
      <c r="G66" s="24" t="n">
        <f aca="false">F67</f>
        <v>2003318.92572722</v>
      </c>
      <c r="H66" s="24" t="n">
        <f aca="false">G67</f>
        <v>1970831.99266223</v>
      </c>
      <c r="I66" s="24" t="n">
        <f aca="false">H67</f>
        <v>1914851.69086017</v>
      </c>
      <c r="J66" s="24" t="n">
        <f aca="false">I67</f>
        <v>1909840.39590135</v>
      </c>
      <c r="K66" s="24" t="n">
        <f aca="false">J67</f>
        <v>1346243.40186611</v>
      </c>
      <c r="L66" s="24" t="n">
        <f aca="false">K67</f>
        <v>1433065.93665407</v>
      </c>
      <c r="M66" s="24" t="n">
        <f aca="false">L67</f>
        <v>1664393.21322352</v>
      </c>
      <c r="N66" s="24" t="n">
        <f aca="false">M67</f>
        <v>2011481.2040028</v>
      </c>
    </row>
    <row r="67" customFormat="false" ht="15" hidden="false" customHeight="true" outlineLevel="0" collapsed="false">
      <c r="B67" s="3" t="s">
        <v>257</v>
      </c>
      <c r="C67" s="28" t="n">
        <f aca="false">C66+C60-C63-C64+C65</f>
        <v>2964301.19520819</v>
      </c>
      <c r="D67" s="28" t="n">
        <f aca="false">D66+D60-D63-D64+D65</f>
        <v>2216086.53349657</v>
      </c>
      <c r="E67" s="28" t="n">
        <f aca="false">E66+E60-E63-E64+E65</f>
        <v>2079200.31224585</v>
      </c>
      <c r="F67" s="28" t="n">
        <f aca="false">F66+F60-F63-F64+F65</f>
        <v>2003318.92572722</v>
      </c>
      <c r="G67" s="28" t="n">
        <f aca="false">G66+G60-G63-G64+G65</f>
        <v>1970831.99266223</v>
      </c>
      <c r="H67" s="28" t="n">
        <f aca="false">H66+H60-H63-H64+H65</f>
        <v>1914851.69086017</v>
      </c>
      <c r="I67" s="28" t="n">
        <f aca="false">I66+I60-I63-I64+I65</f>
        <v>1909840.39590135</v>
      </c>
      <c r="J67" s="28" t="n">
        <f aca="false">J66+J60-J63-J64+J65</f>
        <v>1346243.40186611</v>
      </c>
      <c r="K67" s="28" t="n">
        <f aca="false">K66+K60-K63-K64+K65</f>
        <v>1433065.93665407</v>
      </c>
      <c r="L67" s="28" t="n">
        <f aca="false">L66+L60-L63-L64+L65</f>
        <v>1664393.21322352</v>
      </c>
      <c r="M67" s="28" t="n">
        <f aca="false">M66+M60-M63-M64+M65</f>
        <v>2011481.2040028</v>
      </c>
      <c r="N67" s="28" t="n">
        <f aca="false">N66+N60-N63-N64+N65</f>
        <v>2443479.33593387</v>
      </c>
    </row>
    <row r="68" customFormat="false" ht="15" hidden="false" customHeight="true" outlineLevel="0" collapsed="false">
      <c r="B68" s="19" t="s">
        <v>258</v>
      </c>
      <c r="C68" s="29" t="str">
        <f aca="false">IF(C67&lt;'Assumptions &amp; Log'!$F$57,"BREACH","ok")</f>
        <v>ok</v>
      </c>
      <c r="D68" s="29" t="str">
        <f aca="false">IF(D67&lt;'Assumptions &amp; Log'!$F$57,"BREACH","ok")</f>
        <v>ok</v>
      </c>
      <c r="E68" s="29" t="str">
        <f aca="false">IF(E67&lt;'Assumptions &amp; Log'!$F$57,"BREACH","ok")</f>
        <v>ok</v>
      </c>
      <c r="F68" s="29" t="str">
        <f aca="false">IF(F67&lt;'Assumptions &amp; Log'!$F$57,"BREACH","ok")</f>
        <v>ok</v>
      </c>
      <c r="G68" s="29" t="str">
        <f aca="false">IF(G67&lt;'Assumptions &amp; Log'!$F$57,"BREACH","ok")</f>
        <v>ok</v>
      </c>
      <c r="H68" s="29" t="str">
        <f aca="false">IF(H67&lt;'Assumptions &amp; Log'!$F$57,"BREACH","ok")</f>
        <v>ok</v>
      </c>
      <c r="I68" s="29" t="str">
        <f aca="false">IF(I67&lt;'Assumptions &amp; Log'!$F$57,"BREACH","ok")</f>
        <v>ok</v>
      </c>
      <c r="J68" s="29" t="str">
        <f aca="false">IF(J67&lt;'Assumptions &amp; Log'!$F$57,"BREACH","ok")</f>
        <v>ok</v>
      </c>
      <c r="K68" s="29" t="str">
        <f aca="false">IF(K67&lt;'Assumptions &amp; Log'!$F$57,"BREACH","ok")</f>
        <v>ok</v>
      </c>
      <c r="L68" s="29" t="str">
        <f aca="false">IF(L67&lt;'Assumptions &amp; Log'!$F$57,"BREACH","ok")</f>
        <v>ok</v>
      </c>
      <c r="M68" s="29" t="str">
        <f aca="false">IF(M67&lt;'Assumptions &amp; Log'!$F$57,"BREACH","ok")</f>
        <v>ok</v>
      </c>
      <c r="N68" s="29" t="str">
        <f aca="false">IF(N67&lt;'Assumptions &amp; Log'!$F$57,"BREACH","ok")</f>
        <v>ok</v>
      </c>
    </row>
  </sheetData>
  <mergeCells count="1">
    <mergeCell ref="B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R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3" min="2" style="1" width="11"/>
    <col collapsed="false" customWidth="true" hidden="false" outlineLevel="0" max="5" min="4" style="1" width="9"/>
    <col collapsed="false" customWidth="true" hidden="false" outlineLevel="0" max="6" min="6" style="1" width="10"/>
    <col collapsed="false" customWidth="true" hidden="false" outlineLevel="0" max="7" min="7" style="1" width="9"/>
    <col collapsed="false" customWidth="true" hidden="false" outlineLevel="0" max="8" min="8" style="1" width="13"/>
    <col collapsed="false" customWidth="true" hidden="false" outlineLevel="0" max="10" min="9" style="1" width="12"/>
    <col collapsed="false" customWidth="true" hidden="false" outlineLevel="0" max="11" min="11" style="1" width="11"/>
    <col collapsed="false" customWidth="true" hidden="false" outlineLevel="0" max="13" min="12" style="1" width="10"/>
    <col collapsed="false" customWidth="true" hidden="false" outlineLevel="0" max="14" min="14" style="1" width="11"/>
    <col collapsed="false" customWidth="true" hidden="false" outlineLevel="0" max="15" min="15" style="1" width="10"/>
    <col collapsed="false" customWidth="true" hidden="false" outlineLevel="0" max="16" min="16" style="1" width="13"/>
    <col collapsed="false" customWidth="true" hidden="false" outlineLevel="0" max="17" min="17" style="1" width="10"/>
    <col collapsed="false" customWidth="true" hidden="false" outlineLevel="0" max="20" min="18" style="1" width="12"/>
    <col collapsed="false" customWidth="true" hidden="false" outlineLevel="0" max="22" min="21" style="1" width="11"/>
    <col collapsed="false" customWidth="true" hidden="false" outlineLevel="0" max="23" min="23" style="1" width="20"/>
  </cols>
  <sheetData>
    <row r="1" customFormat="false" ht="15.75" hidden="false" customHeight="true" outlineLevel="0" collapsed="false">
      <c r="A1" s="18" t="s">
        <v>259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customFormat="false" ht="15" hidden="false" customHeight="true" outlineLevel="0" collapsed="false">
      <c r="A2" s="30" t="s">
        <v>260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4" customFormat="false" ht="39" hidden="false" customHeight="true" outlineLevel="0" collapsed="false">
      <c r="A4" s="31" t="s">
        <v>261</v>
      </c>
      <c r="B4" s="31" t="s">
        <v>262</v>
      </c>
      <c r="C4" s="31" t="s">
        <v>263</v>
      </c>
      <c r="D4" s="31" t="s">
        <v>189</v>
      </c>
      <c r="E4" s="31" t="s">
        <v>264</v>
      </c>
      <c r="F4" s="31" t="s">
        <v>265</v>
      </c>
      <c r="G4" s="31" t="s">
        <v>266</v>
      </c>
      <c r="H4" s="31" t="s">
        <v>267</v>
      </c>
      <c r="I4" s="31" t="s">
        <v>268</v>
      </c>
      <c r="J4" s="31" t="s">
        <v>269</v>
      </c>
      <c r="K4" s="31" t="s">
        <v>270</v>
      </c>
      <c r="L4" s="31" t="s">
        <v>271</v>
      </c>
      <c r="M4" s="31" t="s">
        <v>272</v>
      </c>
      <c r="N4" s="31" t="s">
        <v>273</v>
      </c>
      <c r="O4" s="31" t="s">
        <v>274</v>
      </c>
      <c r="P4" s="31" t="s">
        <v>275</v>
      </c>
      <c r="Q4" s="31" t="s">
        <v>276</v>
      </c>
      <c r="R4" s="31" t="s">
        <v>277</v>
      </c>
    </row>
    <row r="5" customFormat="false" ht="15" hidden="false" customHeight="true" outlineLevel="0" collapsed="false">
      <c r="A5" s="32" t="s">
        <v>278</v>
      </c>
      <c r="B5" s="33" t="n">
        <v>46204</v>
      </c>
      <c r="C5" s="33" t="n">
        <v>46210</v>
      </c>
      <c r="D5" s="32" t="s">
        <v>190</v>
      </c>
      <c r="E5" s="34" t="n">
        <v>0.25</v>
      </c>
      <c r="F5" s="35" t="n">
        <f aca="false">INDEX('Monthly Engine'!$C$13:$N$13,MATCH($D5,'Monthly Engine'!$C$4:$N$4,0))*$E5</f>
        <v>42.6471730351041</v>
      </c>
      <c r="G5" s="35" t="n">
        <f aca="false">INDEX('Monthly Engine'!$C$14:$N$14,MATCH($D5,'Monthly Engine'!$C$4:$N$4,0))*$E5</f>
        <v>8.38995833333333</v>
      </c>
      <c r="H5" s="35" t="n">
        <f aca="false">INDEX('Monthly Engine'!$C$28:$N$28,MATCH($D5,'Monthly Engine'!$C$4:$N$4,0))*$E5</f>
        <v>65.0304731915968</v>
      </c>
      <c r="I5" s="35" t="n">
        <f aca="false">(INDEX('Monthly Engine'!$C$31:$N$31,MATCH($D5,'Monthly Engine'!$C$4:$N$4,0))+INDEX('Monthly Engine'!$C$33:$N$33,MATCH($D5,'Monthly Engine'!$C$4:$N$4,0)))*$E5</f>
        <v>0</v>
      </c>
      <c r="J5" s="36" t="n">
        <f aca="false">H5+I5</f>
        <v>65.0304731915968</v>
      </c>
      <c r="K5" s="37" t="n">
        <f aca="false">INDEX('Monthly Engine'!$C$29:$N$29,MATCH($D5,'Monthly Engine'!$C$4:$N$4,0))</f>
        <v>829</v>
      </c>
      <c r="L5" s="12" t="n">
        <f aca="false">INDEX('Monthly Engine'!$C$35:$N$35,MATCH($D5,'Monthly Engine'!$C$4:$N$4,0))*$E5</f>
        <v>53910.2622758337</v>
      </c>
      <c r="M5" s="37" t="n">
        <f aca="false">INDEX('Monthly Engine'!$C$39:$N$39,MATCH($D5,'Monthly Engine'!$C$4:$N$4,0))*$E5</f>
        <v>403.1889337879</v>
      </c>
      <c r="N5" s="37" t="n">
        <f aca="false">INDEX('Monthly Engine'!$C$40:$N$40,MATCH($D5,'Monthly Engine'!$C$4:$N$4,0))/4</f>
        <v>12000</v>
      </c>
      <c r="O5" s="37" t="n">
        <f aca="false">N5-M5</f>
        <v>11596.8110662121</v>
      </c>
      <c r="P5" s="37" t="n">
        <f aca="false">INDEX('Monthly Engine'!$C$50:$N$50,MATCH($D5,'Monthly Engine'!$C$4:$N$4,0))*$E5</f>
        <v>27470.1724855943</v>
      </c>
      <c r="Q5" s="37" t="n">
        <f aca="false">INDEX('Monthly Engine'!$C$60:$N$60,MATCH($D5,'Monthly Engine'!$C$4:$N$4,0))*$E5</f>
        <v>-40779.8275144057</v>
      </c>
      <c r="R5" s="38"/>
    </row>
    <row r="6" customFormat="false" ht="15" hidden="false" customHeight="true" outlineLevel="0" collapsed="false">
      <c r="A6" s="32" t="s">
        <v>279</v>
      </c>
      <c r="B6" s="33" t="n">
        <v>46211</v>
      </c>
      <c r="C6" s="33" t="n">
        <v>46217</v>
      </c>
      <c r="D6" s="32" t="s">
        <v>190</v>
      </c>
      <c r="E6" s="34" t="n">
        <v>0.25</v>
      </c>
      <c r="F6" s="35" t="n">
        <f aca="false">INDEX('Monthly Engine'!$C$13:$N$13,MATCH($D6,'Monthly Engine'!$C$4:$N$4,0))*$E6</f>
        <v>42.6471730351041</v>
      </c>
      <c r="G6" s="35" t="n">
        <f aca="false">INDEX('Monthly Engine'!$C$14:$N$14,MATCH($D6,'Monthly Engine'!$C$4:$N$4,0))*$E6</f>
        <v>8.38995833333333</v>
      </c>
      <c r="H6" s="35" t="n">
        <f aca="false">INDEX('Monthly Engine'!$C$28:$N$28,MATCH($D6,'Monthly Engine'!$C$4:$N$4,0))*$E6</f>
        <v>65.0304731915968</v>
      </c>
      <c r="I6" s="35" t="n">
        <f aca="false">(INDEX('Monthly Engine'!$C$31:$N$31,MATCH($D6,'Monthly Engine'!$C$4:$N$4,0))+INDEX('Monthly Engine'!$C$33:$N$33,MATCH($D6,'Monthly Engine'!$C$4:$N$4,0)))*$E6</f>
        <v>0</v>
      </c>
      <c r="J6" s="36" t="n">
        <f aca="false">H6+I6</f>
        <v>65.0304731915968</v>
      </c>
      <c r="K6" s="37" t="n">
        <f aca="false">INDEX('Monthly Engine'!$C$29:$N$29,MATCH($D6,'Monthly Engine'!$C$4:$N$4,0))</f>
        <v>829</v>
      </c>
      <c r="L6" s="12" t="n">
        <f aca="false">INDEX('Monthly Engine'!$C$35:$N$35,MATCH($D6,'Monthly Engine'!$C$4:$N$4,0))*$E6</f>
        <v>53910.2622758337</v>
      </c>
      <c r="M6" s="37" t="n">
        <f aca="false">INDEX('Monthly Engine'!$C$39:$N$39,MATCH($D6,'Monthly Engine'!$C$4:$N$4,0))*$E6</f>
        <v>403.1889337879</v>
      </c>
      <c r="N6" s="37" t="n">
        <f aca="false">INDEX('Monthly Engine'!$C$40:$N$40,MATCH($D6,'Monthly Engine'!$C$4:$N$4,0))/4</f>
        <v>12000</v>
      </c>
      <c r="O6" s="37" t="n">
        <f aca="false">N6-M6</f>
        <v>11596.8110662121</v>
      </c>
      <c r="P6" s="37" t="n">
        <f aca="false">INDEX('Monthly Engine'!$C$50:$N$50,MATCH($D6,'Monthly Engine'!$C$4:$N$4,0))*$E6</f>
        <v>27470.1724855943</v>
      </c>
      <c r="Q6" s="37" t="n">
        <f aca="false">INDEX('Monthly Engine'!$C$60:$N$60,MATCH($D6,'Monthly Engine'!$C$4:$N$4,0))*$E6</f>
        <v>-40779.8275144057</v>
      </c>
      <c r="R6" s="38"/>
    </row>
    <row r="7" customFormat="false" ht="15" hidden="false" customHeight="true" outlineLevel="0" collapsed="false">
      <c r="A7" s="32" t="s">
        <v>280</v>
      </c>
      <c r="B7" s="33" t="n">
        <v>46218</v>
      </c>
      <c r="C7" s="33" t="n">
        <v>46224</v>
      </c>
      <c r="D7" s="32" t="s">
        <v>190</v>
      </c>
      <c r="E7" s="34" t="n">
        <v>0.25</v>
      </c>
      <c r="F7" s="35" t="n">
        <f aca="false">INDEX('Monthly Engine'!$C$13:$N$13,MATCH($D7,'Monthly Engine'!$C$4:$N$4,0))*$E7</f>
        <v>42.6471730351041</v>
      </c>
      <c r="G7" s="35" t="n">
        <f aca="false">INDEX('Monthly Engine'!$C$14:$N$14,MATCH($D7,'Monthly Engine'!$C$4:$N$4,0))*$E7</f>
        <v>8.38995833333333</v>
      </c>
      <c r="H7" s="35" t="n">
        <f aca="false">INDEX('Monthly Engine'!$C$28:$N$28,MATCH($D7,'Monthly Engine'!$C$4:$N$4,0))*$E7</f>
        <v>65.0304731915968</v>
      </c>
      <c r="I7" s="35" t="n">
        <f aca="false">(INDEX('Monthly Engine'!$C$31:$N$31,MATCH($D7,'Monthly Engine'!$C$4:$N$4,0))+INDEX('Monthly Engine'!$C$33:$N$33,MATCH($D7,'Monthly Engine'!$C$4:$N$4,0)))*$E7</f>
        <v>0</v>
      </c>
      <c r="J7" s="36" t="n">
        <f aca="false">H7+I7</f>
        <v>65.0304731915968</v>
      </c>
      <c r="K7" s="37" t="n">
        <f aca="false">INDEX('Monthly Engine'!$C$29:$N$29,MATCH($D7,'Monthly Engine'!$C$4:$N$4,0))</f>
        <v>829</v>
      </c>
      <c r="L7" s="12" t="n">
        <f aca="false">INDEX('Monthly Engine'!$C$35:$N$35,MATCH($D7,'Monthly Engine'!$C$4:$N$4,0))*$E7</f>
        <v>53910.2622758337</v>
      </c>
      <c r="M7" s="37" t="n">
        <f aca="false">INDEX('Monthly Engine'!$C$39:$N$39,MATCH($D7,'Monthly Engine'!$C$4:$N$4,0))*$E7</f>
        <v>403.1889337879</v>
      </c>
      <c r="N7" s="37" t="n">
        <f aca="false">INDEX('Monthly Engine'!$C$40:$N$40,MATCH($D7,'Monthly Engine'!$C$4:$N$4,0))/4</f>
        <v>12000</v>
      </c>
      <c r="O7" s="37" t="n">
        <f aca="false">N7-M7</f>
        <v>11596.8110662121</v>
      </c>
      <c r="P7" s="37" t="n">
        <f aca="false">INDEX('Monthly Engine'!$C$50:$N$50,MATCH($D7,'Monthly Engine'!$C$4:$N$4,0))*$E7</f>
        <v>27470.1724855943</v>
      </c>
      <c r="Q7" s="37" t="n">
        <f aca="false">INDEX('Monthly Engine'!$C$60:$N$60,MATCH($D7,'Monthly Engine'!$C$4:$N$4,0))*$E7</f>
        <v>-40779.8275144057</v>
      </c>
      <c r="R7" s="38"/>
    </row>
    <row r="8" customFormat="false" ht="15" hidden="false" customHeight="true" outlineLevel="0" collapsed="false">
      <c r="A8" s="32" t="s">
        <v>281</v>
      </c>
      <c r="B8" s="33" t="n">
        <v>46225</v>
      </c>
      <c r="C8" s="33" t="n">
        <v>46231</v>
      </c>
      <c r="D8" s="32" t="s">
        <v>190</v>
      </c>
      <c r="E8" s="34" t="n">
        <v>0.25</v>
      </c>
      <c r="F8" s="35" t="n">
        <f aca="false">INDEX('Monthly Engine'!$C$13:$N$13,MATCH($D8,'Monthly Engine'!$C$4:$N$4,0))*$E8</f>
        <v>42.6471730351041</v>
      </c>
      <c r="G8" s="35" t="n">
        <f aca="false">INDEX('Monthly Engine'!$C$14:$N$14,MATCH($D8,'Monthly Engine'!$C$4:$N$4,0))*$E8</f>
        <v>8.38995833333333</v>
      </c>
      <c r="H8" s="35" t="n">
        <f aca="false">INDEX('Monthly Engine'!$C$28:$N$28,MATCH($D8,'Monthly Engine'!$C$4:$N$4,0))*$E8</f>
        <v>65.0304731915968</v>
      </c>
      <c r="I8" s="35" t="n">
        <f aca="false">(INDEX('Monthly Engine'!$C$31:$N$31,MATCH($D8,'Monthly Engine'!$C$4:$N$4,0))+INDEX('Monthly Engine'!$C$33:$N$33,MATCH($D8,'Monthly Engine'!$C$4:$N$4,0)))*$E8</f>
        <v>0</v>
      </c>
      <c r="J8" s="36" t="n">
        <f aca="false">H8+I8</f>
        <v>65.0304731915968</v>
      </c>
      <c r="K8" s="37" t="n">
        <f aca="false">INDEX('Monthly Engine'!$C$29:$N$29,MATCH($D8,'Monthly Engine'!$C$4:$N$4,0))</f>
        <v>829</v>
      </c>
      <c r="L8" s="12" t="n">
        <f aca="false">INDEX('Monthly Engine'!$C$35:$N$35,MATCH($D8,'Monthly Engine'!$C$4:$N$4,0))*$E8</f>
        <v>53910.2622758337</v>
      </c>
      <c r="M8" s="37" t="n">
        <f aca="false">INDEX('Monthly Engine'!$C$39:$N$39,MATCH($D8,'Monthly Engine'!$C$4:$N$4,0))*$E8</f>
        <v>403.1889337879</v>
      </c>
      <c r="N8" s="37" t="n">
        <f aca="false">INDEX('Monthly Engine'!$C$40:$N$40,MATCH($D8,'Monthly Engine'!$C$4:$N$4,0))/4</f>
        <v>12000</v>
      </c>
      <c r="O8" s="37" t="n">
        <f aca="false">N8-M8</f>
        <v>11596.8110662121</v>
      </c>
      <c r="P8" s="37" t="n">
        <f aca="false">INDEX('Monthly Engine'!$C$50:$N$50,MATCH($D8,'Monthly Engine'!$C$4:$N$4,0))*$E8</f>
        <v>27470.1724855943</v>
      </c>
      <c r="Q8" s="37" t="n">
        <f aca="false">INDEX('Monthly Engine'!$C$60:$N$60,MATCH($D8,'Monthly Engine'!$C$4:$N$4,0))*$E8</f>
        <v>-40779.8275144057</v>
      </c>
      <c r="R8" s="38"/>
    </row>
    <row r="9" customFormat="false" ht="15" hidden="false" customHeight="true" outlineLevel="0" collapsed="false">
      <c r="A9" s="32" t="s">
        <v>282</v>
      </c>
      <c r="B9" s="33" t="n">
        <v>46232</v>
      </c>
      <c r="C9" s="33" t="n">
        <v>46238</v>
      </c>
      <c r="D9" s="32" t="s">
        <v>191</v>
      </c>
      <c r="E9" s="34" t="n">
        <v>0.2</v>
      </c>
      <c r="F9" s="35" t="n">
        <f aca="false">INDEX('Monthly Engine'!$C$13:$N$13,MATCH($D9,'Monthly Engine'!$C$4:$N$4,0))*$E9</f>
        <v>32.9244261605004</v>
      </c>
      <c r="G9" s="35" t="n">
        <f aca="false">INDEX('Monthly Engine'!$C$14:$N$14,MATCH($D9,'Monthly Engine'!$C$4:$N$4,0))*$E9</f>
        <v>7.58436507598633</v>
      </c>
      <c r="H9" s="35" t="n">
        <f aca="false">INDEX('Monthly Engine'!$C$28:$N$28,MATCH($D9,'Monthly Engine'!$C$4:$N$4,0))*$E9</f>
        <v>60.4924099473028</v>
      </c>
      <c r="I9" s="35" t="n">
        <f aca="false">(INDEX('Monthly Engine'!$C$31:$N$31,MATCH($D9,'Monthly Engine'!$C$4:$N$4,0))+INDEX('Monthly Engine'!$C$33:$N$33,MATCH($D9,'Monthly Engine'!$C$4:$N$4,0)))*$E9</f>
        <v>16.3166666666667</v>
      </c>
      <c r="J9" s="36" t="n">
        <f aca="false">H9+I9</f>
        <v>76.8090766139695</v>
      </c>
      <c r="K9" s="37" t="n">
        <f aca="false">INDEX('Monthly Engine'!$C$29:$N$29,MATCH($D9,'Monthly Engine'!$C$4:$N$4,0))</f>
        <v>838.119</v>
      </c>
      <c r="L9" s="12" t="n">
        <f aca="false">INDEX('Monthly Engine'!$C$35:$N$35,MATCH($D9,'Monthly Engine'!$C$4:$N$4,0))*$E9</f>
        <v>60130.8714659568</v>
      </c>
      <c r="M9" s="37" t="n">
        <f aca="false">INDEX('Monthly Engine'!$C$39:$N$39,MATCH($D9,'Monthly Engine'!$C$4:$N$4,0))*$E9</f>
        <v>472.493642333237</v>
      </c>
      <c r="N9" s="37" t="n">
        <f aca="false">INDEX('Monthly Engine'!$C$40:$N$40,MATCH($D9,'Monthly Engine'!$C$4:$N$4,0))/5</f>
        <v>9600</v>
      </c>
      <c r="O9" s="37" t="n">
        <f aca="false">N9-M9</f>
        <v>9127.50635766676</v>
      </c>
      <c r="P9" s="37" t="n">
        <f aca="false">INDEX('Monthly Engine'!$C$50:$N$50,MATCH($D9,'Monthly Engine'!$C$4:$N$4,0))*$E9</f>
        <v>29790.3025922614</v>
      </c>
      <c r="Q9" s="37" t="n">
        <f aca="false">INDEX('Monthly Engine'!$C$60:$N$60,MATCH($D9,'Monthly Engine'!$C$4:$N$4,0))*$E9</f>
        <v>-25989.6974077386</v>
      </c>
      <c r="R9" s="38"/>
    </row>
    <row r="10" customFormat="false" ht="15" hidden="false" customHeight="true" outlineLevel="0" collapsed="false">
      <c r="A10" s="32" t="s">
        <v>283</v>
      </c>
      <c r="B10" s="33" t="n">
        <v>46239</v>
      </c>
      <c r="C10" s="33" t="n">
        <v>46245</v>
      </c>
      <c r="D10" s="32" t="s">
        <v>191</v>
      </c>
      <c r="E10" s="34" t="n">
        <v>0.2</v>
      </c>
      <c r="F10" s="35" t="n">
        <f aca="false">INDEX('Monthly Engine'!$C$13:$N$13,MATCH($D10,'Monthly Engine'!$C$4:$N$4,0))*$E10</f>
        <v>32.9244261605004</v>
      </c>
      <c r="G10" s="35" t="n">
        <f aca="false">INDEX('Monthly Engine'!$C$14:$N$14,MATCH($D10,'Monthly Engine'!$C$4:$N$4,0))*$E10</f>
        <v>7.58436507598633</v>
      </c>
      <c r="H10" s="35" t="n">
        <f aca="false">INDEX('Monthly Engine'!$C$28:$N$28,MATCH($D10,'Monthly Engine'!$C$4:$N$4,0))*$E10</f>
        <v>60.4924099473028</v>
      </c>
      <c r="I10" s="35" t="n">
        <f aca="false">(INDEX('Monthly Engine'!$C$31:$N$31,MATCH($D10,'Monthly Engine'!$C$4:$N$4,0))+INDEX('Monthly Engine'!$C$33:$N$33,MATCH($D10,'Monthly Engine'!$C$4:$N$4,0)))*$E10</f>
        <v>16.3166666666667</v>
      </c>
      <c r="J10" s="36" t="n">
        <f aca="false">H10+I10</f>
        <v>76.8090766139695</v>
      </c>
      <c r="K10" s="37" t="n">
        <f aca="false">INDEX('Monthly Engine'!$C$29:$N$29,MATCH($D10,'Monthly Engine'!$C$4:$N$4,0))</f>
        <v>838.119</v>
      </c>
      <c r="L10" s="12" t="n">
        <f aca="false">INDEX('Monthly Engine'!$C$35:$N$35,MATCH($D10,'Monthly Engine'!$C$4:$N$4,0))*$E10</f>
        <v>60130.8714659568</v>
      </c>
      <c r="M10" s="37" t="n">
        <f aca="false">INDEX('Monthly Engine'!$C$39:$N$39,MATCH($D10,'Monthly Engine'!$C$4:$N$4,0))*$E10</f>
        <v>472.493642333237</v>
      </c>
      <c r="N10" s="37" t="n">
        <f aca="false">INDEX('Monthly Engine'!$C$40:$N$40,MATCH($D10,'Monthly Engine'!$C$4:$N$4,0))/5</f>
        <v>9600</v>
      </c>
      <c r="O10" s="37" t="n">
        <f aca="false">N10-M10</f>
        <v>9127.50635766676</v>
      </c>
      <c r="P10" s="37" t="n">
        <f aca="false">INDEX('Monthly Engine'!$C$50:$N$50,MATCH($D10,'Monthly Engine'!$C$4:$N$4,0))*$E10</f>
        <v>29790.3025922614</v>
      </c>
      <c r="Q10" s="37" t="n">
        <f aca="false">INDEX('Monthly Engine'!$C$60:$N$60,MATCH($D10,'Monthly Engine'!$C$4:$N$4,0))*$E10</f>
        <v>-25989.6974077386</v>
      </c>
      <c r="R10" s="38"/>
    </row>
    <row r="11" customFormat="false" ht="15" hidden="false" customHeight="true" outlineLevel="0" collapsed="false">
      <c r="A11" s="32" t="s">
        <v>284</v>
      </c>
      <c r="B11" s="33" t="n">
        <v>46246</v>
      </c>
      <c r="C11" s="33" t="n">
        <v>46252</v>
      </c>
      <c r="D11" s="32" t="s">
        <v>191</v>
      </c>
      <c r="E11" s="34" t="n">
        <v>0.2</v>
      </c>
      <c r="F11" s="35" t="n">
        <f aca="false">INDEX('Monthly Engine'!$C$13:$N$13,MATCH($D11,'Monthly Engine'!$C$4:$N$4,0))*$E11</f>
        <v>32.9244261605004</v>
      </c>
      <c r="G11" s="35" t="n">
        <f aca="false">INDEX('Monthly Engine'!$C$14:$N$14,MATCH($D11,'Monthly Engine'!$C$4:$N$4,0))*$E11</f>
        <v>7.58436507598633</v>
      </c>
      <c r="H11" s="35" t="n">
        <f aca="false">INDEX('Monthly Engine'!$C$28:$N$28,MATCH($D11,'Monthly Engine'!$C$4:$N$4,0))*$E11</f>
        <v>60.4924099473028</v>
      </c>
      <c r="I11" s="35" t="n">
        <f aca="false">(INDEX('Monthly Engine'!$C$31:$N$31,MATCH($D11,'Monthly Engine'!$C$4:$N$4,0))+INDEX('Monthly Engine'!$C$33:$N$33,MATCH($D11,'Monthly Engine'!$C$4:$N$4,0)))*$E11</f>
        <v>16.3166666666667</v>
      </c>
      <c r="J11" s="36" t="n">
        <f aca="false">H11+I11</f>
        <v>76.8090766139695</v>
      </c>
      <c r="K11" s="37" t="n">
        <f aca="false">INDEX('Monthly Engine'!$C$29:$N$29,MATCH($D11,'Monthly Engine'!$C$4:$N$4,0))</f>
        <v>838.119</v>
      </c>
      <c r="L11" s="12" t="n">
        <f aca="false">INDEX('Monthly Engine'!$C$35:$N$35,MATCH($D11,'Monthly Engine'!$C$4:$N$4,0))*$E11</f>
        <v>60130.8714659568</v>
      </c>
      <c r="M11" s="37" t="n">
        <f aca="false">INDEX('Monthly Engine'!$C$39:$N$39,MATCH($D11,'Monthly Engine'!$C$4:$N$4,0))*$E11</f>
        <v>472.493642333237</v>
      </c>
      <c r="N11" s="37" t="n">
        <f aca="false">INDEX('Monthly Engine'!$C$40:$N$40,MATCH($D11,'Monthly Engine'!$C$4:$N$4,0))/5</f>
        <v>9600</v>
      </c>
      <c r="O11" s="37" t="n">
        <f aca="false">N11-M11</f>
        <v>9127.50635766676</v>
      </c>
      <c r="P11" s="37" t="n">
        <f aca="false">INDEX('Monthly Engine'!$C$50:$N$50,MATCH($D11,'Monthly Engine'!$C$4:$N$4,0))*$E11</f>
        <v>29790.3025922614</v>
      </c>
      <c r="Q11" s="37" t="n">
        <f aca="false">INDEX('Monthly Engine'!$C$60:$N$60,MATCH($D11,'Monthly Engine'!$C$4:$N$4,0))*$E11</f>
        <v>-25989.6974077386</v>
      </c>
      <c r="R11" s="38"/>
    </row>
    <row r="12" customFormat="false" ht="15" hidden="false" customHeight="true" outlineLevel="0" collapsed="false">
      <c r="A12" s="32" t="s">
        <v>285</v>
      </c>
      <c r="B12" s="33" t="n">
        <v>46253</v>
      </c>
      <c r="C12" s="33" t="n">
        <v>46259</v>
      </c>
      <c r="D12" s="32" t="s">
        <v>191</v>
      </c>
      <c r="E12" s="34" t="n">
        <v>0.2</v>
      </c>
      <c r="F12" s="35" t="n">
        <f aca="false">INDEX('Monthly Engine'!$C$13:$N$13,MATCH($D12,'Monthly Engine'!$C$4:$N$4,0))*$E12</f>
        <v>32.9244261605004</v>
      </c>
      <c r="G12" s="35" t="n">
        <f aca="false">INDEX('Monthly Engine'!$C$14:$N$14,MATCH($D12,'Monthly Engine'!$C$4:$N$4,0))*$E12</f>
        <v>7.58436507598633</v>
      </c>
      <c r="H12" s="35" t="n">
        <f aca="false">INDEX('Monthly Engine'!$C$28:$N$28,MATCH($D12,'Monthly Engine'!$C$4:$N$4,0))*$E12</f>
        <v>60.4924099473028</v>
      </c>
      <c r="I12" s="35" t="n">
        <f aca="false">(INDEX('Monthly Engine'!$C$31:$N$31,MATCH($D12,'Monthly Engine'!$C$4:$N$4,0))+INDEX('Monthly Engine'!$C$33:$N$33,MATCH($D12,'Monthly Engine'!$C$4:$N$4,0)))*$E12</f>
        <v>16.3166666666667</v>
      </c>
      <c r="J12" s="36" t="n">
        <f aca="false">H12+I12</f>
        <v>76.8090766139695</v>
      </c>
      <c r="K12" s="37" t="n">
        <f aca="false">INDEX('Monthly Engine'!$C$29:$N$29,MATCH($D12,'Monthly Engine'!$C$4:$N$4,0))</f>
        <v>838.119</v>
      </c>
      <c r="L12" s="12" t="n">
        <f aca="false">INDEX('Monthly Engine'!$C$35:$N$35,MATCH($D12,'Monthly Engine'!$C$4:$N$4,0))*$E12</f>
        <v>60130.8714659568</v>
      </c>
      <c r="M12" s="37" t="n">
        <f aca="false">INDEX('Monthly Engine'!$C$39:$N$39,MATCH($D12,'Monthly Engine'!$C$4:$N$4,0))*$E12</f>
        <v>472.493642333237</v>
      </c>
      <c r="N12" s="37" t="n">
        <f aca="false">INDEX('Monthly Engine'!$C$40:$N$40,MATCH($D12,'Monthly Engine'!$C$4:$N$4,0))/5</f>
        <v>9600</v>
      </c>
      <c r="O12" s="37" t="n">
        <f aca="false">N12-M12</f>
        <v>9127.50635766676</v>
      </c>
      <c r="P12" s="37" t="n">
        <f aca="false">INDEX('Monthly Engine'!$C$50:$N$50,MATCH($D12,'Monthly Engine'!$C$4:$N$4,0))*$E12</f>
        <v>29790.3025922614</v>
      </c>
      <c r="Q12" s="37" t="n">
        <f aca="false">INDEX('Monthly Engine'!$C$60:$N$60,MATCH($D12,'Monthly Engine'!$C$4:$N$4,0))*$E12</f>
        <v>-25989.6974077386</v>
      </c>
      <c r="R12" s="38"/>
    </row>
    <row r="13" customFormat="false" ht="15" hidden="false" customHeight="true" outlineLevel="0" collapsed="false">
      <c r="A13" s="32" t="s">
        <v>286</v>
      </c>
      <c r="B13" s="33" t="n">
        <v>46260</v>
      </c>
      <c r="C13" s="33" t="n">
        <v>46266</v>
      </c>
      <c r="D13" s="32" t="s">
        <v>191</v>
      </c>
      <c r="E13" s="34" t="n">
        <v>0.2</v>
      </c>
      <c r="F13" s="35" t="n">
        <f aca="false">INDEX('Monthly Engine'!$C$13:$N$13,MATCH($D13,'Monthly Engine'!$C$4:$N$4,0))*$E13</f>
        <v>32.9244261605004</v>
      </c>
      <c r="G13" s="35" t="n">
        <f aca="false">INDEX('Monthly Engine'!$C$14:$N$14,MATCH($D13,'Monthly Engine'!$C$4:$N$4,0))*$E13</f>
        <v>7.58436507598633</v>
      </c>
      <c r="H13" s="35" t="n">
        <f aca="false">INDEX('Monthly Engine'!$C$28:$N$28,MATCH($D13,'Monthly Engine'!$C$4:$N$4,0))*$E13</f>
        <v>60.4924099473028</v>
      </c>
      <c r="I13" s="35" t="n">
        <f aca="false">(INDEX('Monthly Engine'!$C$31:$N$31,MATCH($D13,'Monthly Engine'!$C$4:$N$4,0))+INDEX('Monthly Engine'!$C$33:$N$33,MATCH($D13,'Monthly Engine'!$C$4:$N$4,0)))*$E13</f>
        <v>16.3166666666667</v>
      </c>
      <c r="J13" s="36" t="n">
        <f aca="false">H13+I13</f>
        <v>76.8090766139695</v>
      </c>
      <c r="K13" s="37" t="n">
        <f aca="false">INDEX('Monthly Engine'!$C$29:$N$29,MATCH($D13,'Monthly Engine'!$C$4:$N$4,0))</f>
        <v>838.119</v>
      </c>
      <c r="L13" s="12" t="n">
        <f aca="false">INDEX('Monthly Engine'!$C$35:$N$35,MATCH($D13,'Monthly Engine'!$C$4:$N$4,0))*$E13</f>
        <v>60130.8714659568</v>
      </c>
      <c r="M13" s="37" t="n">
        <f aca="false">INDEX('Monthly Engine'!$C$39:$N$39,MATCH($D13,'Monthly Engine'!$C$4:$N$4,0))*$E13</f>
        <v>472.493642333237</v>
      </c>
      <c r="N13" s="37" t="n">
        <f aca="false">INDEX('Monthly Engine'!$C$40:$N$40,MATCH($D13,'Monthly Engine'!$C$4:$N$4,0))/5</f>
        <v>9600</v>
      </c>
      <c r="O13" s="37" t="n">
        <f aca="false">N13-M13</f>
        <v>9127.50635766676</v>
      </c>
      <c r="P13" s="37" t="n">
        <f aca="false">INDEX('Monthly Engine'!$C$50:$N$50,MATCH($D13,'Monthly Engine'!$C$4:$N$4,0))*$E13</f>
        <v>29790.3025922614</v>
      </c>
      <c r="Q13" s="37" t="n">
        <f aca="false">INDEX('Monthly Engine'!$C$60:$N$60,MATCH($D13,'Monthly Engine'!$C$4:$N$4,0))*$E13</f>
        <v>-25989.6974077386</v>
      </c>
      <c r="R13" s="38"/>
    </row>
    <row r="14" customFormat="false" ht="15" hidden="false" customHeight="true" outlineLevel="0" collapsed="false">
      <c r="A14" s="32" t="s">
        <v>287</v>
      </c>
      <c r="B14" s="33" t="n">
        <v>46267</v>
      </c>
      <c r="C14" s="33" t="n">
        <v>46273</v>
      </c>
      <c r="D14" s="32" t="s">
        <v>192</v>
      </c>
      <c r="E14" s="34" t="n">
        <v>0.25</v>
      </c>
      <c r="F14" s="35" t="n">
        <f aca="false">INDEX('Monthly Engine'!$C$13:$N$13,MATCH($D14,'Monthly Engine'!$C$4:$N$4,0))*$E14</f>
        <v>44.5320320924593</v>
      </c>
      <c r="G14" s="35" t="n">
        <f aca="false">INDEX('Monthly Engine'!$C$14:$N$14,MATCH($D14,'Monthly Engine'!$C$4:$N$4,0))*$E14</f>
        <v>11.1065973715933</v>
      </c>
      <c r="H14" s="35" t="n">
        <f aca="false">INDEX('Monthly Engine'!$C$28:$N$28,MATCH($D14,'Monthly Engine'!$C$4:$N$4,0))*$E14</f>
        <v>93.0640268866192</v>
      </c>
      <c r="I14" s="35" t="n">
        <f aca="false">(INDEX('Monthly Engine'!$C$31:$N$31,MATCH($D14,'Monthly Engine'!$C$4:$N$4,0))+INDEX('Monthly Engine'!$C$33:$N$33,MATCH($D14,'Monthly Engine'!$C$4:$N$4,0)))*$E14</f>
        <v>60.0625</v>
      </c>
      <c r="J14" s="36" t="n">
        <f aca="false">H14+I14</f>
        <v>153.126526886619</v>
      </c>
      <c r="K14" s="37" t="n">
        <f aca="false">INDEX('Monthly Engine'!$C$29:$N$29,MATCH($D14,'Monthly Engine'!$C$4:$N$4,0))</f>
        <v>847.338309</v>
      </c>
      <c r="L14" s="12" t="n">
        <f aca="false">INDEX('Monthly Engine'!$C$35:$N$35,MATCH($D14,'Monthly Engine'!$C$4:$N$4,0))*$E14</f>
        <v>110747.965170838</v>
      </c>
      <c r="M14" s="37" t="n">
        <f aca="false">INDEX('Monthly Engine'!$C$39:$N$39,MATCH($D14,'Monthly Engine'!$C$4:$N$4,0))*$E14</f>
        <v>896.154741722724</v>
      </c>
      <c r="N14" s="37" t="n">
        <f aca="false">INDEX('Monthly Engine'!$C$40:$N$40,MATCH($D14,'Monthly Engine'!$C$4:$N$4,0))/4</f>
        <v>12000</v>
      </c>
      <c r="O14" s="37" t="n">
        <f aca="false">N14-M14</f>
        <v>11103.8452582773</v>
      </c>
      <c r="P14" s="37" t="n">
        <f aca="false">INDEX('Monthly Engine'!$C$50:$N$50,MATCH($D14,'Monthly Engine'!$C$4:$N$4,0))*$E14</f>
        <v>53918.1237534314</v>
      </c>
      <c r="Q14" s="37" t="n">
        <f aca="false">INDEX('Monthly Engine'!$C$60:$N$60,MATCH($D14,'Monthly Engine'!$C$4:$N$4,0))*$E14</f>
        <v>-27353.7512465686</v>
      </c>
      <c r="R14" s="38"/>
    </row>
    <row r="15" customFormat="false" ht="15" hidden="false" customHeight="true" outlineLevel="0" collapsed="false">
      <c r="A15" s="32" t="s">
        <v>288</v>
      </c>
      <c r="B15" s="33" t="n">
        <v>46274</v>
      </c>
      <c r="C15" s="33" t="n">
        <v>46280</v>
      </c>
      <c r="D15" s="32" t="s">
        <v>192</v>
      </c>
      <c r="E15" s="34" t="n">
        <v>0.25</v>
      </c>
      <c r="F15" s="35" t="n">
        <f aca="false">INDEX('Monthly Engine'!$C$13:$N$13,MATCH($D15,'Monthly Engine'!$C$4:$N$4,0))*$E15</f>
        <v>44.5320320924593</v>
      </c>
      <c r="G15" s="35" t="n">
        <f aca="false">INDEX('Monthly Engine'!$C$14:$N$14,MATCH($D15,'Monthly Engine'!$C$4:$N$4,0))*$E15</f>
        <v>11.1065973715933</v>
      </c>
      <c r="H15" s="35" t="n">
        <f aca="false">INDEX('Monthly Engine'!$C$28:$N$28,MATCH($D15,'Monthly Engine'!$C$4:$N$4,0))*$E15</f>
        <v>93.0640268866192</v>
      </c>
      <c r="I15" s="35" t="n">
        <f aca="false">(INDEX('Monthly Engine'!$C$31:$N$31,MATCH($D15,'Monthly Engine'!$C$4:$N$4,0))+INDEX('Monthly Engine'!$C$33:$N$33,MATCH($D15,'Monthly Engine'!$C$4:$N$4,0)))*$E15</f>
        <v>60.0625</v>
      </c>
      <c r="J15" s="36" t="n">
        <f aca="false">H15+I15</f>
        <v>153.126526886619</v>
      </c>
      <c r="K15" s="37" t="n">
        <f aca="false">INDEX('Monthly Engine'!$C$29:$N$29,MATCH($D15,'Monthly Engine'!$C$4:$N$4,0))</f>
        <v>847.338309</v>
      </c>
      <c r="L15" s="12" t="n">
        <f aca="false">INDEX('Monthly Engine'!$C$35:$N$35,MATCH($D15,'Monthly Engine'!$C$4:$N$4,0))*$E15</f>
        <v>110747.965170838</v>
      </c>
      <c r="M15" s="37" t="n">
        <f aca="false">INDEX('Monthly Engine'!$C$39:$N$39,MATCH($D15,'Monthly Engine'!$C$4:$N$4,0))*$E15</f>
        <v>896.154741722724</v>
      </c>
      <c r="N15" s="37" t="n">
        <f aca="false">INDEX('Monthly Engine'!$C$40:$N$40,MATCH($D15,'Monthly Engine'!$C$4:$N$4,0))/4</f>
        <v>12000</v>
      </c>
      <c r="O15" s="37" t="n">
        <f aca="false">N15-M15</f>
        <v>11103.8452582773</v>
      </c>
      <c r="P15" s="37" t="n">
        <f aca="false">INDEX('Monthly Engine'!$C$50:$N$50,MATCH($D15,'Monthly Engine'!$C$4:$N$4,0))*$E15</f>
        <v>53918.1237534314</v>
      </c>
      <c r="Q15" s="37" t="n">
        <f aca="false">INDEX('Monthly Engine'!$C$60:$N$60,MATCH($D15,'Monthly Engine'!$C$4:$N$4,0))*$E15</f>
        <v>-27353.7512465686</v>
      </c>
      <c r="R15" s="38"/>
    </row>
    <row r="16" customFormat="false" ht="15" hidden="false" customHeight="true" outlineLevel="0" collapsed="false">
      <c r="A16" s="32" t="s">
        <v>289</v>
      </c>
      <c r="B16" s="33" t="n">
        <v>46281</v>
      </c>
      <c r="C16" s="33" t="n">
        <v>46287</v>
      </c>
      <c r="D16" s="32" t="s">
        <v>192</v>
      </c>
      <c r="E16" s="34" t="n">
        <v>0.25</v>
      </c>
      <c r="F16" s="35" t="n">
        <f aca="false">INDEX('Monthly Engine'!$C$13:$N$13,MATCH($D16,'Monthly Engine'!$C$4:$N$4,0))*$E16</f>
        <v>44.5320320924593</v>
      </c>
      <c r="G16" s="35" t="n">
        <f aca="false">INDEX('Monthly Engine'!$C$14:$N$14,MATCH($D16,'Monthly Engine'!$C$4:$N$4,0))*$E16</f>
        <v>11.1065973715933</v>
      </c>
      <c r="H16" s="35" t="n">
        <f aca="false">INDEX('Monthly Engine'!$C$28:$N$28,MATCH($D16,'Monthly Engine'!$C$4:$N$4,0))*$E16</f>
        <v>93.0640268866192</v>
      </c>
      <c r="I16" s="35" t="n">
        <f aca="false">(INDEX('Monthly Engine'!$C$31:$N$31,MATCH($D16,'Monthly Engine'!$C$4:$N$4,0))+INDEX('Monthly Engine'!$C$33:$N$33,MATCH($D16,'Monthly Engine'!$C$4:$N$4,0)))*$E16</f>
        <v>60.0625</v>
      </c>
      <c r="J16" s="36" t="n">
        <f aca="false">H16+I16</f>
        <v>153.126526886619</v>
      </c>
      <c r="K16" s="37" t="n">
        <f aca="false">INDEX('Monthly Engine'!$C$29:$N$29,MATCH($D16,'Monthly Engine'!$C$4:$N$4,0))</f>
        <v>847.338309</v>
      </c>
      <c r="L16" s="12" t="n">
        <f aca="false">INDEX('Monthly Engine'!$C$35:$N$35,MATCH($D16,'Monthly Engine'!$C$4:$N$4,0))*$E16</f>
        <v>110747.965170838</v>
      </c>
      <c r="M16" s="37" t="n">
        <f aca="false">INDEX('Monthly Engine'!$C$39:$N$39,MATCH($D16,'Monthly Engine'!$C$4:$N$4,0))*$E16</f>
        <v>896.154741722724</v>
      </c>
      <c r="N16" s="37" t="n">
        <f aca="false">INDEX('Monthly Engine'!$C$40:$N$40,MATCH($D16,'Monthly Engine'!$C$4:$N$4,0))/4</f>
        <v>12000</v>
      </c>
      <c r="O16" s="37" t="n">
        <f aca="false">N16-M16</f>
        <v>11103.8452582773</v>
      </c>
      <c r="P16" s="37" t="n">
        <f aca="false">INDEX('Monthly Engine'!$C$50:$N$50,MATCH($D16,'Monthly Engine'!$C$4:$N$4,0))*$E16</f>
        <v>53918.1237534314</v>
      </c>
      <c r="Q16" s="37" t="n">
        <f aca="false">INDEX('Monthly Engine'!$C$60:$N$60,MATCH($D16,'Monthly Engine'!$C$4:$N$4,0))*$E16</f>
        <v>-27353.7512465686</v>
      </c>
      <c r="R16" s="38"/>
    </row>
    <row r="17" customFormat="false" ht="15" hidden="false" customHeight="true" outlineLevel="0" collapsed="false">
      <c r="A17" s="32" t="s">
        <v>290</v>
      </c>
      <c r="B17" s="33" t="n">
        <v>46288</v>
      </c>
      <c r="C17" s="33" t="n">
        <v>46294</v>
      </c>
      <c r="D17" s="32" t="s">
        <v>192</v>
      </c>
      <c r="E17" s="34" t="n">
        <v>0.25</v>
      </c>
      <c r="F17" s="35" t="n">
        <f aca="false">INDEX('Monthly Engine'!$C$13:$N$13,MATCH($D17,'Monthly Engine'!$C$4:$N$4,0))*$E17</f>
        <v>44.5320320924593</v>
      </c>
      <c r="G17" s="35" t="n">
        <f aca="false">INDEX('Monthly Engine'!$C$14:$N$14,MATCH($D17,'Monthly Engine'!$C$4:$N$4,0))*$E17</f>
        <v>11.1065973715933</v>
      </c>
      <c r="H17" s="35" t="n">
        <f aca="false">INDEX('Monthly Engine'!$C$28:$N$28,MATCH($D17,'Monthly Engine'!$C$4:$N$4,0))*$E17</f>
        <v>93.0640268866192</v>
      </c>
      <c r="I17" s="35" t="n">
        <f aca="false">(INDEX('Monthly Engine'!$C$31:$N$31,MATCH($D17,'Monthly Engine'!$C$4:$N$4,0))+INDEX('Monthly Engine'!$C$33:$N$33,MATCH($D17,'Monthly Engine'!$C$4:$N$4,0)))*$E17</f>
        <v>60.0625</v>
      </c>
      <c r="J17" s="36" t="n">
        <f aca="false">H17+I17</f>
        <v>153.126526886619</v>
      </c>
      <c r="K17" s="37" t="n">
        <f aca="false">INDEX('Monthly Engine'!$C$29:$N$29,MATCH($D17,'Monthly Engine'!$C$4:$N$4,0))</f>
        <v>847.338309</v>
      </c>
      <c r="L17" s="12" t="n">
        <f aca="false">INDEX('Monthly Engine'!$C$35:$N$35,MATCH($D17,'Monthly Engine'!$C$4:$N$4,0))*$E17</f>
        <v>110747.965170838</v>
      </c>
      <c r="M17" s="37" t="n">
        <f aca="false">INDEX('Monthly Engine'!$C$39:$N$39,MATCH($D17,'Monthly Engine'!$C$4:$N$4,0))*$E17</f>
        <v>896.154741722724</v>
      </c>
      <c r="N17" s="37" t="n">
        <f aca="false">INDEX('Monthly Engine'!$C$40:$N$40,MATCH($D17,'Monthly Engine'!$C$4:$N$4,0))/4</f>
        <v>12000</v>
      </c>
      <c r="O17" s="37" t="n">
        <f aca="false">N17-M17</f>
        <v>11103.8452582773</v>
      </c>
      <c r="P17" s="37" t="n">
        <f aca="false">INDEX('Monthly Engine'!$C$50:$N$50,MATCH($D17,'Monthly Engine'!$C$4:$N$4,0))*$E17</f>
        <v>53918.1237534314</v>
      </c>
      <c r="Q17" s="37" t="n">
        <f aca="false">INDEX('Monthly Engine'!$C$60:$N$60,MATCH($D17,'Monthly Engine'!$C$4:$N$4,0))*$E17</f>
        <v>-27353.7512465686</v>
      </c>
      <c r="R17" s="38"/>
    </row>
    <row r="18" customFormat="false" ht="15" hidden="false" customHeight="true" outlineLevel="0" collapsed="false">
      <c r="A18" s="32" t="s">
        <v>291</v>
      </c>
      <c r="B18" s="33" t="n">
        <v>46295</v>
      </c>
      <c r="C18" s="33" t="n">
        <v>46301</v>
      </c>
      <c r="D18" s="32" t="s">
        <v>193</v>
      </c>
      <c r="E18" s="34" t="n">
        <v>0.2</v>
      </c>
      <c r="F18" s="35" t="n">
        <f aca="false">INDEX('Monthly Engine'!$C$13:$N$13,MATCH($D18,'Monthly Engine'!$C$4:$N$4,0))*$E18</f>
        <v>42.2235990374338</v>
      </c>
      <c r="G18" s="35" t="n">
        <f aca="false">INDEX('Monthly Engine'!$C$14:$N$14,MATCH($D18,'Monthly Engine'!$C$4:$N$4,0))*$E18</f>
        <v>10.6524165306027</v>
      </c>
      <c r="H18" s="35" t="n">
        <f aca="false">INDEX('Monthly Engine'!$C$28:$N$28,MATCH($D18,'Monthly Engine'!$C$4:$N$4,0))*$E18</f>
        <v>87.8505355247201</v>
      </c>
      <c r="I18" s="35" t="n">
        <f aca="false">(INDEX('Monthly Engine'!$C$31:$N$31,MATCH($D18,'Monthly Engine'!$C$4:$N$4,0))+INDEX('Monthly Engine'!$C$33:$N$33,MATCH($D18,'Monthly Engine'!$C$4:$N$4,0)))*$E18</f>
        <v>89.675</v>
      </c>
      <c r="J18" s="36" t="n">
        <f aca="false">H18+I18</f>
        <v>177.52553552472</v>
      </c>
      <c r="K18" s="37" t="n">
        <f aca="false">INDEX('Monthly Engine'!$C$29:$N$29,MATCH($D18,'Monthly Engine'!$C$4:$N$4,0))</f>
        <v>856.659030399</v>
      </c>
      <c r="L18" s="12" t="n">
        <f aca="false">INDEX('Monthly Engine'!$C$35:$N$35,MATCH($D18,'Monthly Engine'!$C$4:$N$4,0))*$E18</f>
        <v>121962.80458264</v>
      </c>
      <c r="M18" s="37" t="n">
        <f aca="false">INDEX('Monthly Engine'!$C$39:$N$39,MATCH($D18,'Monthly Engine'!$C$4:$N$4,0))*$E18</f>
        <v>1008.12875199907</v>
      </c>
      <c r="N18" s="37" t="n">
        <f aca="false">INDEX('Monthly Engine'!$C$40:$N$40,MATCH($D18,'Monthly Engine'!$C$4:$N$4,0))/5</f>
        <v>19200</v>
      </c>
      <c r="O18" s="37" t="n">
        <f aca="false">N18-M18</f>
        <v>18191.8712480009</v>
      </c>
      <c r="P18" s="37" t="n">
        <f aca="false">INDEX('Monthly Engine'!$C$50:$N$50,MATCH($D18,'Monthly Engine'!$C$4:$N$4,0))*$E18</f>
        <v>58796.2938080479</v>
      </c>
      <c r="Q18" s="37" t="n">
        <f aca="false">INDEX('Monthly Engine'!$C$60:$N$60,MATCH($D18,'Monthly Engine'!$C$4:$N$4,0))*$E18</f>
        <v>-7519.08119195211</v>
      </c>
      <c r="R18" s="38"/>
    </row>
    <row r="19" customFormat="false" ht="15" hidden="false" customHeight="true" outlineLevel="0" collapsed="false">
      <c r="A19" s="32" t="s">
        <v>292</v>
      </c>
      <c r="B19" s="33" t="n">
        <v>46302</v>
      </c>
      <c r="C19" s="33" t="n">
        <v>46308</v>
      </c>
      <c r="D19" s="32" t="s">
        <v>193</v>
      </c>
      <c r="E19" s="34" t="n">
        <v>0.2</v>
      </c>
      <c r="F19" s="35" t="n">
        <f aca="false">INDEX('Monthly Engine'!$C$13:$N$13,MATCH($D19,'Monthly Engine'!$C$4:$N$4,0))*$E19</f>
        <v>42.2235990374338</v>
      </c>
      <c r="G19" s="35" t="n">
        <f aca="false">INDEX('Monthly Engine'!$C$14:$N$14,MATCH($D19,'Monthly Engine'!$C$4:$N$4,0))*$E19</f>
        <v>10.6524165306027</v>
      </c>
      <c r="H19" s="35" t="n">
        <f aca="false">INDEX('Monthly Engine'!$C$28:$N$28,MATCH($D19,'Monthly Engine'!$C$4:$N$4,0))*$E19</f>
        <v>87.8505355247201</v>
      </c>
      <c r="I19" s="35" t="n">
        <f aca="false">(INDEX('Monthly Engine'!$C$31:$N$31,MATCH($D19,'Monthly Engine'!$C$4:$N$4,0))+INDEX('Monthly Engine'!$C$33:$N$33,MATCH($D19,'Monthly Engine'!$C$4:$N$4,0)))*$E19</f>
        <v>89.675</v>
      </c>
      <c r="J19" s="36" t="n">
        <f aca="false">H19+I19</f>
        <v>177.52553552472</v>
      </c>
      <c r="K19" s="37" t="n">
        <f aca="false">INDEX('Monthly Engine'!$C$29:$N$29,MATCH($D19,'Monthly Engine'!$C$4:$N$4,0))</f>
        <v>856.659030399</v>
      </c>
      <c r="L19" s="12" t="n">
        <f aca="false">INDEX('Monthly Engine'!$C$35:$N$35,MATCH($D19,'Monthly Engine'!$C$4:$N$4,0))*$E19</f>
        <v>121962.80458264</v>
      </c>
      <c r="M19" s="37" t="n">
        <f aca="false">INDEX('Monthly Engine'!$C$39:$N$39,MATCH($D19,'Monthly Engine'!$C$4:$N$4,0))*$E19</f>
        <v>1008.12875199907</v>
      </c>
      <c r="N19" s="37" t="n">
        <f aca="false">INDEX('Monthly Engine'!$C$40:$N$40,MATCH($D19,'Monthly Engine'!$C$4:$N$4,0))/5</f>
        <v>19200</v>
      </c>
      <c r="O19" s="37" t="n">
        <f aca="false">N19-M19</f>
        <v>18191.8712480009</v>
      </c>
      <c r="P19" s="37" t="n">
        <f aca="false">INDEX('Monthly Engine'!$C$50:$N$50,MATCH($D19,'Monthly Engine'!$C$4:$N$4,0))*$E19</f>
        <v>58796.2938080479</v>
      </c>
      <c r="Q19" s="37" t="n">
        <f aca="false">INDEX('Monthly Engine'!$C$60:$N$60,MATCH($D19,'Monthly Engine'!$C$4:$N$4,0))*$E19</f>
        <v>-7519.08119195211</v>
      </c>
      <c r="R19" s="38"/>
    </row>
    <row r="20" customFormat="false" ht="15" hidden="false" customHeight="true" outlineLevel="0" collapsed="false">
      <c r="A20" s="32" t="s">
        <v>293</v>
      </c>
      <c r="B20" s="33" t="n">
        <v>46309</v>
      </c>
      <c r="C20" s="33" t="n">
        <v>46315</v>
      </c>
      <c r="D20" s="32" t="s">
        <v>193</v>
      </c>
      <c r="E20" s="34" t="n">
        <v>0.2</v>
      </c>
      <c r="F20" s="35" t="n">
        <f aca="false">INDEX('Monthly Engine'!$C$13:$N$13,MATCH($D20,'Monthly Engine'!$C$4:$N$4,0))*$E20</f>
        <v>42.2235990374338</v>
      </c>
      <c r="G20" s="35" t="n">
        <f aca="false">INDEX('Monthly Engine'!$C$14:$N$14,MATCH($D20,'Monthly Engine'!$C$4:$N$4,0))*$E20</f>
        <v>10.6524165306027</v>
      </c>
      <c r="H20" s="35" t="n">
        <f aca="false">INDEX('Monthly Engine'!$C$28:$N$28,MATCH($D20,'Monthly Engine'!$C$4:$N$4,0))*$E20</f>
        <v>87.8505355247201</v>
      </c>
      <c r="I20" s="35" t="n">
        <f aca="false">(INDEX('Monthly Engine'!$C$31:$N$31,MATCH($D20,'Monthly Engine'!$C$4:$N$4,0))+INDEX('Monthly Engine'!$C$33:$N$33,MATCH($D20,'Monthly Engine'!$C$4:$N$4,0)))*$E20</f>
        <v>89.675</v>
      </c>
      <c r="J20" s="36" t="n">
        <f aca="false">H20+I20</f>
        <v>177.52553552472</v>
      </c>
      <c r="K20" s="37" t="n">
        <f aca="false">INDEX('Monthly Engine'!$C$29:$N$29,MATCH($D20,'Monthly Engine'!$C$4:$N$4,0))</f>
        <v>856.659030399</v>
      </c>
      <c r="L20" s="12" t="n">
        <f aca="false">INDEX('Monthly Engine'!$C$35:$N$35,MATCH($D20,'Monthly Engine'!$C$4:$N$4,0))*$E20</f>
        <v>121962.80458264</v>
      </c>
      <c r="M20" s="37" t="n">
        <f aca="false">INDEX('Monthly Engine'!$C$39:$N$39,MATCH($D20,'Monthly Engine'!$C$4:$N$4,0))*$E20</f>
        <v>1008.12875199907</v>
      </c>
      <c r="N20" s="37" t="n">
        <f aca="false">INDEX('Monthly Engine'!$C$40:$N$40,MATCH($D20,'Monthly Engine'!$C$4:$N$4,0))/5</f>
        <v>19200</v>
      </c>
      <c r="O20" s="37" t="n">
        <f aca="false">N20-M20</f>
        <v>18191.8712480009</v>
      </c>
      <c r="P20" s="37" t="n">
        <f aca="false">INDEX('Monthly Engine'!$C$50:$N$50,MATCH($D20,'Monthly Engine'!$C$4:$N$4,0))*$E20</f>
        <v>58796.2938080479</v>
      </c>
      <c r="Q20" s="37" t="n">
        <f aca="false">INDEX('Monthly Engine'!$C$60:$N$60,MATCH($D20,'Monthly Engine'!$C$4:$N$4,0))*$E20</f>
        <v>-7519.08119195211</v>
      </c>
      <c r="R20" s="38"/>
    </row>
    <row r="21" customFormat="false" ht="15" hidden="false" customHeight="true" outlineLevel="0" collapsed="false">
      <c r="A21" s="32" t="s">
        <v>294</v>
      </c>
      <c r="B21" s="33" t="n">
        <v>46316</v>
      </c>
      <c r="C21" s="33" t="n">
        <v>46322</v>
      </c>
      <c r="D21" s="32" t="s">
        <v>193</v>
      </c>
      <c r="E21" s="34" t="n">
        <v>0.2</v>
      </c>
      <c r="F21" s="35" t="n">
        <f aca="false">INDEX('Monthly Engine'!$C$13:$N$13,MATCH($D21,'Monthly Engine'!$C$4:$N$4,0))*$E21</f>
        <v>42.2235990374338</v>
      </c>
      <c r="G21" s="35" t="n">
        <f aca="false">INDEX('Monthly Engine'!$C$14:$N$14,MATCH($D21,'Monthly Engine'!$C$4:$N$4,0))*$E21</f>
        <v>10.6524165306027</v>
      </c>
      <c r="H21" s="35" t="n">
        <f aca="false">INDEX('Monthly Engine'!$C$28:$N$28,MATCH($D21,'Monthly Engine'!$C$4:$N$4,0))*$E21</f>
        <v>87.8505355247201</v>
      </c>
      <c r="I21" s="35" t="n">
        <f aca="false">(INDEX('Monthly Engine'!$C$31:$N$31,MATCH($D21,'Monthly Engine'!$C$4:$N$4,0))+INDEX('Monthly Engine'!$C$33:$N$33,MATCH($D21,'Monthly Engine'!$C$4:$N$4,0)))*$E21</f>
        <v>89.675</v>
      </c>
      <c r="J21" s="36" t="n">
        <f aca="false">H21+I21</f>
        <v>177.52553552472</v>
      </c>
      <c r="K21" s="37" t="n">
        <f aca="false">INDEX('Monthly Engine'!$C$29:$N$29,MATCH($D21,'Monthly Engine'!$C$4:$N$4,0))</f>
        <v>856.659030399</v>
      </c>
      <c r="L21" s="12" t="n">
        <f aca="false">INDEX('Monthly Engine'!$C$35:$N$35,MATCH($D21,'Monthly Engine'!$C$4:$N$4,0))*$E21</f>
        <v>121962.80458264</v>
      </c>
      <c r="M21" s="37" t="n">
        <f aca="false">INDEX('Monthly Engine'!$C$39:$N$39,MATCH($D21,'Monthly Engine'!$C$4:$N$4,0))*$E21</f>
        <v>1008.12875199907</v>
      </c>
      <c r="N21" s="37" t="n">
        <f aca="false">INDEX('Monthly Engine'!$C$40:$N$40,MATCH($D21,'Monthly Engine'!$C$4:$N$4,0))/5</f>
        <v>19200</v>
      </c>
      <c r="O21" s="37" t="n">
        <f aca="false">N21-M21</f>
        <v>18191.8712480009</v>
      </c>
      <c r="P21" s="37" t="n">
        <f aca="false">INDEX('Monthly Engine'!$C$50:$N$50,MATCH($D21,'Monthly Engine'!$C$4:$N$4,0))*$E21</f>
        <v>58796.2938080479</v>
      </c>
      <c r="Q21" s="37" t="n">
        <f aca="false">INDEX('Monthly Engine'!$C$60:$N$60,MATCH($D21,'Monthly Engine'!$C$4:$N$4,0))*$E21</f>
        <v>-7519.08119195211</v>
      </c>
      <c r="R21" s="38"/>
    </row>
    <row r="22" customFormat="false" ht="15" hidden="false" customHeight="true" outlineLevel="0" collapsed="false">
      <c r="A22" s="32" t="s">
        <v>295</v>
      </c>
      <c r="B22" s="33" t="n">
        <v>46323</v>
      </c>
      <c r="C22" s="33" t="n">
        <v>46329</v>
      </c>
      <c r="D22" s="32" t="s">
        <v>193</v>
      </c>
      <c r="E22" s="34" t="n">
        <v>0.2</v>
      </c>
      <c r="F22" s="35" t="n">
        <f aca="false">INDEX('Monthly Engine'!$C$13:$N$13,MATCH($D22,'Monthly Engine'!$C$4:$N$4,0))*$E22</f>
        <v>42.2235990374338</v>
      </c>
      <c r="G22" s="35" t="n">
        <f aca="false">INDEX('Monthly Engine'!$C$14:$N$14,MATCH($D22,'Monthly Engine'!$C$4:$N$4,0))*$E22</f>
        <v>10.6524165306027</v>
      </c>
      <c r="H22" s="35" t="n">
        <f aca="false">INDEX('Monthly Engine'!$C$28:$N$28,MATCH($D22,'Monthly Engine'!$C$4:$N$4,0))*$E22</f>
        <v>87.8505355247201</v>
      </c>
      <c r="I22" s="35" t="n">
        <f aca="false">(INDEX('Monthly Engine'!$C$31:$N$31,MATCH($D22,'Monthly Engine'!$C$4:$N$4,0))+INDEX('Monthly Engine'!$C$33:$N$33,MATCH($D22,'Monthly Engine'!$C$4:$N$4,0)))*$E22</f>
        <v>89.675</v>
      </c>
      <c r="J22" s="36" t="n">
        <f aca="false">H22+I22</f>
        <v>177.52553552472</v>
      </c>
      <c r="K22" s="37" t="n">
        <f aca="false">INDEX('Monthly Engine'!$C$29:$N$29,MATCH($D22,'Monthly Engine'!$C$4:$N$4,0))</f>
        <v>856.659030399</v>
      </c>
      <c r="L22" s="12" t="n">
        <f aca="false">INDEX('Monthly Engine'!$C$35:$N$35,MATCH($D22,'Monthly Engine'!$C$4:$N$4,0))*$E22</f>
        <v>121962.80458264</v>
      </c>
      <c r="M22" s="37" t="n">
        <f aca="false">INDEX('Monthly Engine'!$C$39:$N$39,MATCH($D22,'Monthly Engine'!$C$4:$N$4,0))*$E22</f>
        <v>1008.12875199907</v>
      </c>
      <c r="N22" s="37" t="n">
        <f aca="false">INDEX('Monthly Engine'!$C$40:$N$40,MATCH($D22,'Monthly Engine'!$C$4:$N$4,0))/5</f>
        <v>19200</v>
      </c>
      <c r="O22" s="37" t="n">
        <f aca="false">N22-M22</f>
        <v>18191.8712480009</v>
      </c>
      <c r="P22" s="37" t="n">
        <f aca="false">INDEX('Monthly Engine'!$C$50:$N$50,MATCH($D22,'Monthly Engine'!$C$4:$N$4,0))*$E22</f>
        <v>58796.2938080479</v>
      </c>
      <c r="Q22" s="37" t="n">
        <f aca="false">INDEX('Monthly Engine'!$C$60:$N$60,MATCH($D22,'Monthly Engine'!$C$4:$N$4,0))*$E22</f>
        <v>-7519.08119195211</v>
      </c>
      <c r="R22" s="38"/>
    </row>
    <row r="23" customFormat="false" ht="15" hidden="false" customHeight="true" outlineLevel="0" collapsed="false">
      <c r="A23" s="39" t="s">
        <v>296</v>
      </c>
      <c r="B23" s="40" t="n">
        <v>46330</v>
      </c>
      <c r="C23" s="40" t="n">
        <v>46336</v>
      </c>
      <c r="D23" s="39" t="s">
        <v>194</v>
      </c>
      <c r="E23" s="41" t="n">
        <v>0.375</v>
      </c>
      <c r="F23" s="42" t="n">
        <f aca="false">INDEX('Monthly Engine'!$C$13:$N$13,MATCH($D23,'Monthly Engine'!$C$4:$N$4,0))*$E23</f>
        <v>79.9700689132976</v>
      </c>
      <c r="G23" s="42" t="n">
        <f aca="false">INDEX('Monthly Engine'!$C$14:$N$14,MATCH($D23,'Monthly Engine'!$C$4:$N$4,0))*$E23</f>
        <v>22.4758343122021</v>
      </c>
      <c r="H23" s="42" t="n">
        <f aca="false">INDEX('Monthly Engine'!$C$28:$N$28,MATCH($D23,'Monthly Engine'!$C$4:$N$4,0))*$E23</f>
        <v>181.056672828575</v>
      </c>
      <c r="I23" s="42" t="n">
        <f aca="false">(INDEX('Monthly Engine'!$C$31:$N$31,MATCH($D23,'Monthly Engine'!$C$4:$N$4,0))+INDEX('Monthly Engine'!$C$33:$N$33,MATCH($D23,'Monthly Engine'!$C$4:$N$4,0)))*$E23</f>
        <v>226.3125</v>
      </c>
      <c r="J23" s="43" t="n">
        <f aca="false">H23+I23</f>
        <v>407.369172828575</v>
      </c>
      <c r="K23" s="44" t="n">
        <f aca="false">INDEX('Monthly Engine'!$C$29:$N$29,MATCH($D23,'Monthly Engine'!$C$4:$N$4,0))</f>
        <v>866.082279733389</v>
      </c>
      <c r="L23" s="45" t="n">
        <f aca="false">INDEX('Monthly Engine'!$C$35:$N$35,MATCH($D23,'Monthly Engine'!$C$4:$N$4,0))*$E23</f>
        <v>273676.475964314</v>
      </c>
      <c r="M23" s="44" t="n">
        <f aca="false">INDEX('Monthly Engine'!$C$39:$N$39,MATCH($D23,'Monthly Engine'!$C$4:$N$4,0))*$E23</f>
        <v>2287.31942770444</v>
      </c>
      <c r="N23" s="44" t="n">
        <f aca="false">INDEX('Monthly Engine'!$C$40:$N$40,MATCH($D23,'Monthly Engine'!$C$4:$N$4,0))/4</f>
        <v>24000</v>
      </c>
      <c r="O23" s="44" t="n">
        <f aca="false">N23-M23</f>
        <v>21712.6805722956</v>
      </c>
      <c r="P23" s="44" t="n">
        <f aca="false">INDEX('Monthly Engine'!$C$50:$N$50,MATCH($D23,'Monthly Engine'!$C$4:$N$4,0))*$E23</f>
        <v>131928.384278599</v>
      </c>
      <c r="Q23" s="44" t="n">
        <f aca="false">INDEX('Monthly Engine'!$C$60:$N$60,MATCH($D23,'Monthly Engine'!$C$4:$N$4,0))*$E23</f>
        <v>5034.67724734933</v>
      </c>
      <c r="R23" s="46" t="s">
        <v>297</v>
      </c>
    </row>
    <row r="24" customFormat="false" ht="15" hidden="false" customHeight="true" outlineLevel="0" collapsed="false">
      <c r="A24" s="32" t="s">
        <v>298</v>
      </c>
      <c r="B24" s="33" t="n">
        <v>46337</v>
      </c>
      <c r="C24" s="33" t="n">
        <v>46343</v>
      </c>
      <c r="D24" s="32" t="s">
        <v>194</v>
      </c>
      <c r="E24" s="34" t="n">
        <v>0.2083</v>
      </c>
      <c r="F24" s="35" t="n">
        <f aca="false">INDEX('Monthly Engine'!$C$13:$N$13,MATCH($D24,'Monthly Engine'!$C$4:$N$4,0))*$E24</f>
        <v>44.4207076123731</v>
      </c>
      <c r="G24" s="35" t="n">
        <f aca="false">INDEX('Monthly Engine'!$C$14:$N$14,MATCH($D24,'Monthly Engine'!$C$4:$N$4,0))*$E24</f>
        <v>12.4845767659512</v>
      </c>
      <c r="H24" s="35" t="n">
        <f aca="false">INDEX('Monthly Engine'!$C$28:$N$28,MATCH($D24,'Monthly Engine'!$C$4:$N$4,0))*$E24</f>
        <v>100.570946533846</v>
      </c>
      <c r="I24" s="35" t="n">
        <f aca="false">(INDEX('Monthly Engine'!$C$31:$N$31,MATCH($D24,'Monthly Engine'!$C$4:$N$4,0))+INDEX('Monthly Engine'!$C$33:$N$33,MATCH($D24,'Monthly Engine'!$C$4:$N$4,0)))*$E24</f>
        <v>125.70905</v>
      </c>
      <c r="J24" s="36" t="n">
        <f aca="false">H24+I24</f>
        <v>226.279996533846</v>
      </c>
      <c r="K24" s="37" t="n">
        <f aca="false">INDEX('Monthly Engine'!$C$29:$N$29,MATCH($D24,'Monthly Engine'!$C$4:$N$4,0))</f>
        <v>866.082279733389</v>
      </c>
      <c r="L24" s="12" t="n">
        <f aca="false">INDEX('Monthly Engine'!$C$35:$N$35,MATCH($D24,'Monthly Engine'!$C$4:$N$4,0))*$E24</f>
        <v>152018.159848978</v>
      </c>
      <c r="M24" s="37" t="n">
        <f aca="false">INDEX('Monthly Engine'!$C$39:$N$39,MATCH($D24,'Monthly Engine'!$C$4:$N$4,0))*$E24</f>
        <v>1270.52969810889</v>
      </c>
      <c r="N24" s="37" t="n">
        <f aca="false">INDEX('Monthly Engine'!$C$40:$N$40,MATCH($D24,'Monthly Engine'!$C$4:$N$4,0))/4</f>
        <v>24000</v>
      </c>
      <c r="O24" s="37" t="n">
        <f aca="false">N24-M24</f>
        <v>22729.4703018911</v>
      </c>
      <c r="P24" s="37" t="n">
        <f aca="false">INDEX('Monthly Engine'!$C$50:$N$50,MATCH($D24,'Monthly Engine'!$C$4:$N$4,0))*$E24</f>
        <v>73281.8198539527</v>
      </c>
      <c r="Q24" s="37" t="n">
        <f aca="false">INDEX('Monthly Engine'!$C$60:$N$60,MATCH($D24,'Monthly Engine'!$C$4:$N$4,0))*$E24</f>
        <v>2796.59538832764</v>
      </c>
      <c r="R24" s="38"/>
    </row>
    <row r="25" customFormat="false" ht="15" hidden="false" customHeight="true" outlineLevel="0" collapsed="false">
      <c r="A25" s="32" t="s">
        <v>299</v>
      </c>
      <c r="B25" s="33" t="n">
        <v>46344</v>
      </c>
      <c r="C25" s="33" t="n">
        <v>46350</v>
      </c>
      <c r="D25" s="32" t="s">
        <v>194</v>
      </c>
      <c r="E25" s="34" t="n">
        <v>0.2083</v>
      </c>
      <c r="F25" s="35" t="n">
        <f aca="false">INDEX('Monthly Engine'!$C$13:$N$13,MATCH($D25,'Monthly Engine'!$C$4:$N$4,0))*$E25</f>
        <v>44.4207076123731</v>
      </c>
      <c r="G25" s="35" t="n">
        <f aca="false">INDEX('Monthly Engine'!$C$14:$N$14,MATCH($D25,'Monthly Engine'!$C$4:$N$4,0))*$E25</f>
        <v>12.4845767659512</v>
      </c>
      <c r="H25" s="35" t="n">
        <f aca="false">INDEX('Monthly Engine'!$C$28:$N$28,MATCH($D25,'Monthly Engine'!$C$4:$N$4,0))*$E25</f>
        <v>100.570946533846</v>
      </c>
      <c r="I25" s="35" t="n">
        <f aca="false">(INDEX('Monthly Engine'!$C$31:$N$31,MATCH($D25,'Monthly Engine'!$C$4:$N$4,0))+INDEX('Monthly Engine'!$C$33:$N$33,MATCH($D25,'Monthly Engine'!$C$4:$N$4,0)))*$E25</f>
        <v>125.70905</v>
      </c>
      <c r="J25" s="36" t="n">
        <f aca="false">H25+I25</f>
        <v>226.279996533846</v>
      </c>
      <c r="K25" s="37" t="n">
        <f aca="false">INDEX('Monthly Engine'!$C$29:$N$29,MATCH($D25,'Monthly Engine'!$C$4:$N$4,0))</f>
        <v>866.082279733389</v>
      </c>
      <c r="L25" s="12" t="n">
        <f aca="false">INDEX('Monthly Engine'!$C$35:$N$35,MATCH($D25,'Monthly Engine'!$C$4:$N$4,0))*$E25</f>
        <v>152018.159848978</v>
      </c>
      <c r="M25" s="37" t="n">
        <f aca="false">INDEX('Monthly Engine'!$C$39:$N$39,MATCH($D25,'Monthly Engine'!$C$4:$N$4,0))*$E25</f>
        <v>1270.52969810889</v>
      </c>
      <c r="N25" s="37" t="n">
        <f aca="false">INDEX('Monthly Engine'!$C$40:$N$40,MATCH($D25,'Monthly Engine'!$C$4:$N$4,0))/4</f>
        <v>24000</v>
      </c>
      <c r="O25" s="37" t="n">
        <f aca="false">N25-M25</f>
        <v>22729.4703018911</v>
      </c>
      <c r="P25" s="37" t="n">
        <f aca="false">INDEX('Monthly Engine'!$C$50:$N$50,MATCH($D25,'Monthly Engine'!$C$4:$N$4,0))*$E25</f>
        <v>73281.8198539527</v>
      </c>
      <c r="Q25" s="37" t="n">
        <f aca="false">INDEX('Monthly Engine'!$C$60:$N$60,MATCH($D25,'Monthly Engine'!$C$4:$N$4,0))*$E25</f>
        <v>2796.59538832764</v>
      </c>
      <c r="R25" s="38"/>
    </row>
    <row r="26" customFormat="false" ht="15" hidden="false" customHeight="true" outlineLevel="0" collapsed="false">
      <c r="A26" s="32" t="s">
        <v>300</v>
      </c>
      <c r="B26" s="33" t="n">
        <v>46351</v>
      </c>
      <c r="C26" s="33" t="n">
        <v>46357</v>
      </c>
      <c r="D26" s="32" t="s">
        <v>194</v>
      </c>
      <c r="E26" s="34" t="n">
        <v>0.2083</v>
      </c>
      <c r="F26" s="35" t="n">
        <f aca="false">INDEX('Monthly Engine'!$C$13:$N$13,MATCH($D26,'Monthly Engine'!$C$4:$N$4,0))*$E26</f>
        <v>44.4207076123731</v>
      </c>
      <c r="G26" s="35" t="n">
        <f aca="false">INDEX('Monthly Engine'!$C$14:$N$14,MATCH($D26,'Monthly Engine'!$C$4:$N$4,0))*$E26</f>
        <v>12.4845767659512</v>
      </c>
      <c r="H26" s="35" t="n">
        <f aca="false">INDEX('Monthly Engine'!$C$28:$N$28,MATCH($D26,'Monthly Engine'!$C$4:$N$4,0))*$E26</f>
        <v>100.570946533846</v>
      </c>
      <c r="I26" s="35" t="n">
        <f aca="false">(INDEX('Monthly Engine'!$C$31:$N$31,MATCH($D26,'Monthly Engine'!$C$4:$N$4,0))+INDEX('Monthly Engine'!$C$33:$N$33,MATCH($D26,'Monthly Engine'!$C$4:$N$4,0)))*$E26</f>
        <v>125.70905</v>
      </c>
      <c r="J26" s="36" t="n">
        <f aca="false">H26+I26</f>
        <v>226.279996533846</v>
      </c>
      <c r="K26" s="37" t="n">
        <f aca="false">INDEX('Monthly Engine'!$C$29:$N$29,MATCH($D26,'Monthly Engine'!$C$4:$N$4,0))</f>
        <v>866.082279733389</v>
      </c>
      <c r="L26" s="12" t="n">
        <f aca="false">INDEX('Monthly Engine'!$C$35:$N$35,MATCH($D26,'Monthly Engine'!$C$4:$N$4,0))*$E26</f>
        <v>152018.159848978</v>
      </c>
      <c r="M26" s="37" t="n">
        <f aca="false">INDEX('Monthly Engine'!$C$39:$N$39,MATCH($D26,'Monthly Engine'!$C$4:$N$4,0))*$E26</f>
        <v>1270.52969810889</v>
      </c>
      <c r="N26" s="37" t="n">
        <f aca="false">INDEX('Monthly Engine'!$C$40:$N$40,MATCH($D26,'Monthly Engine'!$C$4:$N$4,0))/4</f>
        <v>24000</v>
      </c>
      <c r="O26" s="37" t="n">
        <f aca="false">N26-M26</f>
        <v>22729.4703018911</v>
      </c>
      <c r="P26" s="37" t="n">
        <f aca="false">INDEX('Monthly Engine'!$C$50:$N$50,MATCH($D26,'Monthly Engine'!$C$4:$N$4,0))*$E26</f>
        <v>73281.8198539527</v>
      </c>
      <c r="Q26" s="37" t="n">
        <f aca="false">INDEX('Monthly Engine'!$C$60:$N$60,MATCH($D26,'Monthly Engine'!$C$4:$N$4,0))*$E26</f>
        <v>2796.59538832764</v>
      </c>
      <c r="R26" s="38"/>
    </row>
    <row r="27" customFormat="false" ht="15" hidden="false" customHeight="true" outlineLevel="0" collapsed="false">
      <c r="A27" s="32" t="s">
        <v>301</v>
      </c>
      <c r="B27" s="33" t="n">
        <v>46358</v>
      </c>
      <c r="C27" s="33" t="n">
        <v>46364</v>
      </c>
      <c r="D27" s="32" t="s">
        <v>195</v>
      </c>
      <c r="E27" s="34" t="n">
        <v>0.25</v>
      </c>
      <c r="F27" s="35" t="n">
        <f aca="false">INDEX('Monthly Engine'!$C$13:$N$13,MATCH($D27,'Monthly Engine'!$C$4:$N$4,0))*$E27</f>
        <v>47.2362469290818</v>
      </c>
      <c r="G27" s="35" t="n">
        <f aca="false">INDEX('Monthly Engine'!$C$14:$N$14,MATCH($D27,'Monthly Engine'!$C$4:$N$4,0))*$E27</f>
        <v>16.0889214016774</v>
      </c>
      <c r="H27" s="35" t="n">
        <f aca="false">INDEX('Monthly Engine'!$C$28:$N$28,MATCH($D27,'Monthly Engine'!$C$4:$N$4,0))*$E27</f>
        <v>123.242579733997</v>
      </c>
      <c r="I27" s="35" t="n">
        <f aca="false">(INDEX('Monthly Engine'!$C$31:$N$31,MATCH($D27,'Monthly Engine'!$C$4:$N$4,0))+INDEX('Monthly Engine'!$C$33:$N$33,MATCH($D27,'Monthly Engine'!$C$4:$N$4,0)))*$E27</f>
        <v>163.989583333333</v>
      </c>
      <c r="J27" s="36" t="n">
        <f aca="false">H27+I27</f>
        <v>287.23216306733</v>
      </c>
      <c r="K27" s="37" t="n">
        <f aca="false">INDEX('Monthly Engine'!$C$29:$N$29,MATCH($D27,'Monthly Engine'!$C$4:$N$4,0))</f>
        <v>875.609184810456</v>
      </c>
      <c r="L27" s="12" t="n">
        <f aca="false">INDEX('Monthly Engine'!$C$35:$N$35,MATCH($D27,'Monthly Engine'!$C$4:$N$4,0))*$E27</f>
        <v>192188.563941489</v>
      </c>
      <c r="M27" s="37" t="n">
        <f aca="false">INDEX('Monthly Engine'!$C$39:$N$39,MATCH($D27,'Monthly Engine'!$C$4:$N$4,0))*$E27</f>
        <v>1614.72379887847</v>
      </c>
      <c r="N27" s="37" t="n">
        <f aca="false">INDEX('Monthly Engine'!$C$40:$N$40,MATCH($D27,'Monthly Engine'!$C$4:$N$4,0))/4</f>
        <v>24000</v>
      </c>
      <c r="O27" s="37" t="n">
        <f aca="false">N27-M27</f>
        <v>22385.2762011215</v>
      </c>
      <c r="P27" s="37" t="n">
        <f aca="false">INDEX('Monthly Engine'!$C$50:$N$50,MATCH($D27,'Monthly Engine'!$C$4:$N$4,0))*$E27</f>
        <v>93179.8910802682</v>
      </c>
      <c r="Q27" s="37" t="n">
        <f aca="false">INDEX('Monthly Engine'!$C$60:$N$60,MATCH($D27,'Monthly Engine'!$C$4:$N$4,0))*$E27</f>
        <v>-1950.70384160677</v>
      </c>
      <c r="R27" s="38"/>
    </row>
    <row r="28" customFormat="false" ht="15" hidden="false" customHeight="true" outlineLevel="0" collapsed="false">
      <c r="A28" s="32" t="s">
        <v>302</v>
      </c>
      <c r="B28" s="33" t="n">
        <v>46365</v>
      </c>
      <c r="C28" s="33" t="n">
        <v>46371</v>
      </c>
      <c r="D28" s="32" t="s">
        <v>195</v>
      </c>
      <c r="E28" s="34" t="n">
        <v>0.25</v>
      </c>
      <c r="F28" s="35" t="n">
        <f aca="false">INDEX('Monthly Engine'!$C$13:$N$13,MATCH($D28,'Monthly Engine'!$C$4:$N$4,0))*$E28</f>
        <v>47.2362469290818</v>
      </c>
      <c r="G28" s="35" t="n">
        <f aca="false">INDEX('Monthly Engine'!$C$14:$N$14,MATCH($D28,'Monthly Engine'!$C$4:$N$4,0))*$E28</f>
        <v>16.0889214016774</v>
      </c>
      <c r="H28" s="35" t="n">
        <f aca="false">INDEX('Monthly Engine'!$C$28:$N$28,MATCH($D28,'Monthly Engine'!$C$4:$N$4,0))*$E28</f>
        <v>123.242579733997</v>
      </c>
      <c r="I28" s="35" t="n">
        <f aca="false">(INDEX('Monthly Engine'!$C$31:$N$31,MATCH($D28,'Monthly Engine'!$C$4:$N$4,0))+INDEX('Monthly Engine'!$C$33:$N$33,MATCH($D28,'Monthly Engine'!$C$4:$N$4,0)))*$E28</f>
        <v>163.989583333333</v>
      </c>
      <c r="J28" s="36" t="n">
        <f aca="false">H28+I28</f>
        <v>287.23216306733</v>
      </c>
      <c r="K28" s="37" t="n">
        <f aca="false">INDEX('Monthly Engine'!$C$29:$N$29,MATCH($D28,'Monthly Engine'!$C$4:$N$4,0))</f>
        <v>875.609184810456</v>
      </c>
      <c r="L28" s="12" t="n">
        <f aca="false">INDEX('Monthly Engine'!$C$35:$N$35,MATCH($D28,'Monthly Engine'!$C$4:$N$4,0))*$E28</f>
        <v>192188.563941489</v>
      </c>
      <c r="M28" s="37" t="n">
        <f aca="false">INDEX('Monthly Engine'!$C$39:$N$39,MATCH($D28,'Monthly Engine'!$C$4:$N$4,0))*$E28</f>
        <v>1614.72379887847</v>
      </c>
      <c r="N28" s="37" t="n">
        <f aca="false">INDEX('Monthly Engine'!$C$40:$N$40,MATCH($D28,'Monthly Engine'!$C$4:$N$4,0))/4</f>
        <v>24000</v>
      </c>
      <c r="O28" s="37" t="n">
        <f aca="false">N28-M28</f>
        <v>22385.2762011215</v>
      </c>
      <c r="P28" s="37" t="n">
        <f aca="false">INDEX('Monthly Engine'!$C$50:$N$50,MATCH($D28,'Monthly Engine'!$C$4:$N$4,0))*$E28</f>
        <v>93179.8910802682</v>
      </c>
      <c r="Q28" s="37" t="n">
        <f aca="false">INDEX('Monthly Engine'!$C$60:$N$60,MATCH($D28,'Monthly Engine'!$C$4:$N$4,0))*$E28</f>
        <v>-1950.70384160677</v>
      </c>
      <c r="R28" s="38"/>
    </row>
    <row r="29" customFormat="false" ht="15" hidden="false" customHeight="true" outlineLevel="0" collapsed="false">
      <c r="A29" s="32" t="s">
        <v>303</v>
      </c>
      <c r="B29" s="33" t="n">
        <v>46372</v>
      </c>
      <c r="C29" s="33" t="n">
        <v>46378</v>
      </c>
      <c r="D29" s="32" t="s">
        <v>195</v>
      </c>
      <c r="E29" s="34" t="n">
        <v>0.25</v>
      </c>
      <c r="F29" s="35" t="n">
        <f aca="false">INDEX('Monthly Engine'!$C$13:$N$13,MATCH($D29,'Monthly Engine'!$C$4:$N$4,0))*$E29</f>
        <v>47.2362469290818</v>
      </c>
      <c r="G29" s="35" t="n">
        <f aca="false">INDEX('Monthly Engine'!$C$14:$N$14,MATCH($D29,'Monthly Engine'!$C$4:$N$4,0))*$E29</f>
        <v>16.0889214016774</v>
      </c>
      <c r="H29" s="35" t="n">
        <f aca="false">INDEX('Monthly Engine'!$C$28:$N$28,MATCH($D29,'Monthly Engine'!$C$4:$N$4,0))*$E29</f>
        <v>123.242579733997</v>
      </c>
      <c r="I29" s="35" t="n">
        <f aca="false">(INDEX('Monthly Engine'!$C$31:$N$31,MATCH($D29,'Monthly Engine'!$C$4:$N$4,0))+INDEX('Monthly Engine'!$C$33:$N$33,MATCH($D29,'Monthly Engine'!$C$4:$N$4,0)))*$E29</f>
        <v>163.989583333333</v>
      </c>
      <c r="J29" s="36" t="n">
        <f aca="false">H29+I29</f>
        <v>287.23216306733</v>
      </c>
      <c r="K29" s="37" t="n">
        <f aca="false">INDEX('Monthly Engine'!$C$29:$N$29,MATCH($D29,'Monthly Engine'!$C$4:$N$4,0))</f>
        <v>875.609184810456</v>
      </c>
      <c r="L29" s="12" t="n">
        <f aca="false">INDEX('Monthly Engine'!$C$35:$N$35,MATCH($D29,'Monthly Engine'!$C$4:$N$4,0))*$E29</f>
        <v>192188.563941489</v>
      </c>
      <c r="M29" s="37" t="n">
        <f aca="false">INDEX('Monthly Engine'!$C$39:$N$39,MATCH($D29,'Monthly Engine'!$C$4:$N$4,0))*$E29</f>
        <v>1614.72379887847</v>
      </c>
      <c r="N29" s="37" t="n">
        <f aca="false">INDEX('Monthly Engine'!$C$40:$N$40,MATCH($D29,'Monthly Engine'!$C$4:$N$4,0))/4</f>
        <v>24000</v>
      </c>
      <c r="O29" s="37" t="n">
        <f aca="false">N29-M29</f>
        <v>22385.2762011215</v>
      </c>
      <c r="P29" s="37" t="n">
        <f aca="false">INDEX('Monthly Engine'!$C$50:$N$50,MATCH($D29,'Monthly Engine'!$C$4:$N$4,0))*$E29</f>
        <v>93179.8910802682</v>
      </c>
      <c r="Q29" s="37" t="n">
        <f aca="false">INDEX('Monthly Engine'!$C$60:$N$60,MATCH($D29,'Monthly Engine'!$C$4:$N$4,0))*$E29</f>
        <v>-1950.70384160677</v>
      </c>
      <c r="R29" s="38"/>
    </row>
    <row r="30" customFormat="false" ht="15" hidden="false" customHeight="true" outlineLevel="0" collapsed="false">
      <c r="A30" s="32" t="s">
        <v>304</v>
      </c>
      <c r="B30" s="33" t="n">
        <v>46379</v>
      </c>
      <c r="C30" s="33" t="n">
        <v>46385</v>
      </c>
      <c r="D30" s="32" t="s">
        <v>195</v>
      </c>
      <c r="E30" s="34" t="n">
        <v>0.25</v>
      </c>
      <c r="F30" s="35" t="n">
        <f aca="false">INDEX('Monthly Engine'!$C$13:$N$13,MATCH($D30,'Monthly Engine'!$C$4:$N$4,0))*$E30</f>
        <v>47.2362469290818</v>
      </c>
      <c r="G30" s="35" t="n">
        <f aca="false">INDEX('Monthly Engine'!$C$14:$N$14,MATCH($D30,'Monthly Engine'!$C$4:$N$4,0))*$E30</f>
        <v>16.0889214016774</v>
      </c>
      <c r="H30" s="35" t="n">
        <f aca="false">INDEX('Monthly Engine'!$C$28:$N$28,MATCH($D30,'Monthly Engine'!$C$4:$N$4,0))*$E30</f>
        <v>123.242579733997</v>
      </c>
      <c r="I30" s="35" t="n">
        <f aca="false">(INDEX('Monthly Engine'!$C$31:$N$31,MATCH($D30,'Monthly Engine'!$C$4:$N$4,0))+INDEX('Monthly Engine'!$C$33:$N$33,MATCH($D30,'Monthly Engine'!$C$4:$N$4,0)))*$E30</f>
        <v>163.989583333333</v>
      </c>
      <c r="J30" s="36" t="n">
        <f aca="false">H30+I30</f>
        <v>287.23216306733</v>
      </c>
      <c r="K30" s="37" t="n">
        <f aca="false">INDEX('Monthly Engine'!$C$29:$N$29,MATCH($D30,'Monthly Engine'!$C$4:$N$4,0))</f>
        <v>875.609184810456</v>
      </c>
      <c r="L30" s="12" t="n">
        <f aca="false">INDEX('Monthly Engine'!$C$35:$N$35,MATCH($D30,'Monthly Engine'!$C$4:$N$4,0))*$E30</f>
        <v>192188.563941489</v>
      </c>
      <c r="M30" s="37" t="n">
        <f aca="false">INDEX('Monthly Engine'!$C$39:$N$39,MATCH($D30,'Monthly Engine'!$C$4:$N$4,0))*$E30</f>
        <v>1614.72379887847</v>
      </c>
      <c r="N30" s="37" t="n">
        <f aca="false">INDEX('Monthly Engine'!$C$40:$N$40,MATCH($D30,'Monthly Engine'!$C$4:$N$4,0))/4</f>
        <v>24000</v>
      </c>
      <c r="O30" s="37" t="n">
        <f aca="false">N30-M30</f>
        <v>22385.2762011215</v>
      </c>
      <c r="P30" s="37" t="n">
        <f aca="false">INDEX('Monthly Engine'!$C$50:$N$50,MATCH($D30,'Monthly Engine'!$C$4:$N$4,0))*$E30</f>
        <v>93179.8910802682</v>
      </c>
      <c r="Q30" s="37" t="n">
        <f aca="false">INDEX('Monthly Engine'!$C$60:$N$60,MATCH($D30,'Monthly Engine'!$C$4:$N$4,0))*$E30</f>
        <v>-1950.70384160677</v>
      </c>
      <c r="R30" s="38"/>
    </row>
    <row r="31" customFormat="false" ht="15" hidden="false" customHeight="true" outlineLevel="0" collapsed="false">
      <c r="A31" s="39" t="s">
        <v>305</v>
      </c>
      <c r="B31" s="40" t="n">
        <v>46386</v>
      </c>
      <c r="C31" s="40" t="n">
        <v>46392</v>
      </c>
      <c r="D31" s="39" t="s">
        <v>196</v>
      </c>
      <c r="E31" s="41" t="n">
        <v>0.3</v>
      </c>
      <c r="F31" s="42" t="n">
        <f aca="false">INDEX('Monthly Engine'!$C$13:$N$13,MATCH($D31,'Monthly Engine'!$C$4:$N$4,0))*$E31</f>
        <v>61.6178115406537</v>
      </c>
      <c r="G31" s="42" t="n">
        <f aca="false">INDEX('Monthly Engine'!$C$14:$N$14,MATCH($D31,'Monthly Engine'!$C$4:$N$4,0))*$E31</f>
        <v>21.6531813379263</v>
      </c>
      <c r="H31" s="42" t="n">
        <f aca="false">INDEX('Monthly Engine'!$C$28:$N$28,MATCH($D31,'Monthly Engine'!$C$4:$N$4,0))*$E31</f>
        <v>161.928747700453</v>
      </c>
      <c r="I31" s="42" t="n">
        <f aca="false">(INDEX('Monthly Engine'!$C$31:$N$31,MATCH($D31,'Monthly Engine'!$C$4:$N$4,0))+INDEX('Monthly Engine'!$C$33:$N$33,MATCH($D31,'Monthly Engine'!$C$4:$N$4,0)))*$E31</f>
        <v>249.75</v>
      </c>
      <c r="J31" s="43" t="n">
        <f aca="false">H31+I31</f>
        <v>411.678747700453</v>
      </c>
      <c r="K31" s="44" t="n">
        <f aca="false">INDEX('Monthly Engine'!$C$29:$N$29,MATCH($D31,'Monthly Engine'!$C$4:$N$4,0))</f>
        <v>885.240885843371</v>
      </c>
      <c r="L31" s="45" t="n">
        <f aca="false">INDEX('Monthly Engine'!$C$35:$N$35,MATCH($D31,'Monthly Engine'!$C$4:$N$4,0))*$E31</f>
        <v>271298.948057856</v>
      </c>
      <c r="M31" s="44" t="n">
        <f aca="false">INDEX('Monthly Engine'!$C$39:$N$39,MATCH($D31,'Monthly Engine'!$C$4:$N$4,0))*$E31</f>
        <v>2298.73791580497</v>
      </c>
      <c r="N31" s="44" t="n">
        <f aca="false">INDEX('Monthly Engine'!$C$40:$N$40,MATCH($D31,'Monthly Engine'!$C$4:$N$4,0))/5</f>
        <v>19200</v>
      </c>
      <c r="O31" s="44" t="n">
        <f aca="false">N31-M31</f>
        <v>16901.262084195</v>
      </c>
      <c r="P31" s="44" t="n">
        <f aca="false">INDEX('Monthly Engine'!$C$50:$N$50,MATCH($D31,'Monthly Engine'!$C$4:$N$4,0))*$E31</f>
        <v>131889.674073455</v>
      </c>
      <c r="Q31" s="44" t="n">
        <f aca="false">INDEX('Monthly Engine'!$C$60:$N$60,MATCH($D31,'Monthly Engine'!$C$4:$N$4,0))*$E31</f>
        <v>15486.3744718921</v>
      </c>
      <c r="R31" s="46" t="s">
        <v>306</v>
      </c>
    </row>
    <row r="32" customFormat="false" ht="15" hidden="false" customHeight="true" outlineLevel="0" collapsed="false">
      <c r="A32" s="32" t="s">
        <v>307</v>
      </c>
      <c r="B32" s="33" t="n">
        <v>46393</v>
      </c>
      <c r="C32" s="33" t="n">
        <v>46399</v>
      </c>
      <c r="D32" s="32" t="s">
        <v>196</v>
      </c>
      <c r="E32" s="34" t="n">
        <v>0.175</v>
      </c>
      <c r="F32" s="35" t="n">
        <f aca="false">INDEX('Monthly Engine'!$C$13:$N$13,MATCH($D32,'Monthly Engine'!$C$4:$N$4,0))*$E32</f>
        <v>35.9437233987146</v>
      </c>
      <c r="G32" s="35" t="n">
        <f aca="false">INDEX('Monthly Engine'!$C$14:$N$14,MATCH($D32,'Monthly Engine'!$C$4:$N$4,0))*$E32</f>
        <v>12.6310224471237</v>
      </c>
      <c r="H32" s="35" t="n">
        <f aca="false">INDEX('Monthly Engine'!$C$28:$N$28,MATCH($D32,'Monthly Engine'!$C$4:$N$4,0))*$E32</f>
        <v>94.4584361585973</v>
      </c>
      <c r="I32" s="35" t="n">
        <f aca="false">(INDEX('Monthly Engine'!$C$31:$N$31,MATCH($D32,'Monthly Engine'!$C$4:$N$4,0))+INDEX('Monthly Engine'!$C$33:$N$33,MATCH($D32,'Monthly Engine'!$C$4:$N$4,0)))*$E32</f>
        <v>145.6875</v>
      </c>
      <c r="J32" s="36" t="n">
        <f aca="false">H32+I32</f>
        <v>240.145936158597</v>
      </c>
      <c r="K32" s="37" t="n">
        <f aca="false">INDEX('Monthly Engine'!$C$29:$N$29,MATCH($D32,'Monthly Engine'!$C$4:$N$4,0))</f>
        <v>885.240885843371</v>
      </c>
      <c r="L32" s="12" t="n">
        <f aca="false">INDEX('Monthly Engine'!$C$35:$N$35,MATCH($D32,'Monthly Engine'!$C$4:$N$4,0))*$E32</f>
        <v>158257.719700416</v>
      </c>
      <c r="M32" s="37" t="n">
        <f aca="false">INDEX('Monthly Engine'!$C$39:$N$39,MATCH($D32,'Monthly Engine'!$C$4:$N$4,0))*$E32</f>
        <v>1340.93045088623</v>
      </c>
      <c r="N32" s="37" t="n">
        <f aca="false">INDEX('Monthly Engine'!$C$40:$N$40,MATCH($D32,'Monthly Engine'!$C$4:$N$4,0))/5</f>
        <v>19200</v>
      </c>
      <c r="O32" s="37" t="n">
        <f aca="false">N32-M32</f>
        <v>17859.0695491138</v>
      </c>
      <c r="P32" s="37" t="n">
        <f aca="false">INDEX('Monthly Engine'!$C$50:$N$50,MATCH($D32,'Monthly Engine'!$C$4:$N$4,0))*$E32</f>
        <v>76935.6432095152</v>
      </c>
      <c r="Q32" s="37" t="n">
        <f aca="false">INDEX('Monthly Engine'!$C$60:$N$60,MATCH($D32,'Monthly Engine'!$C$4:$N$4,0))*$E32</f>
        <v>9033.71844193705</v>
      </c>
      <c r="R32" s="38"/>
    </row>
    <row r="33" customFormat="false" ht="15" hidden="false" customHeight="true" outlineLevel="0" collapsed="false">
      <c r="A33" s="32" t="s">
        <v>308</v>
      </c>
      <c r="B33" s="33" t="n">
        <v>46400</v>
      </c>
      <c r="C33" s="33" t="n">
        <v>46406</v>
      </c>
      <c r="D33" s="32" t="s">
        <v>196</v>
      </c>
      <c r="E33" s="34" t="n">
        <v>0.175</v>
      </c>
      <c r="F33" s="35" t="n">
        <f aca="false">INDEX('Monthly Engine'!$C$13:$N$13,MATCH($D33,'Monthly Engine'!$C$4:$N$4,0))*$E33</f>
        <v>35.9437233987146</v>
      </c>
      <c r="G33" s="35" t="n">
        <f aca="false">INDEX('Monthly Engine'!$C$14:$N$14,MATCH($D33,'Monthly Engine'!$C$4:$N$4,0))*$E33</f>
        <v>12.6310224471237</v>
      </c>
      <c r="H33" s="35" t="n">
        <f aca="false">INDEX('Monthly Engine'!$C$28:$N$28,MATCH($D33,'Monthly Engine'!$C$4:$N$4,0))*$E33</f>
        <v>94.4584361585973</v>
      </c>
      <c r="I33" s="35" t="n">
        <f aca="false">(INDEX('Monthly Engine'!$C$31:$N$31,MATCH($D33,'Monthly Engine'!$C$4:$N$4,0))+INDEX('Monthly Engine'!$C$33:$N$33,MATCH($D33,'Monthly Engine'!$C$4:$N$4,0)))*$E33</f>
        <v>145.6875</v>
      </c>
      <c r="J33" s="36" t="n">
        <f aca="false">H33+I33</f>
        <v>240.145936158597</v>
      </c>
      <c r="K33" s="37" t="n">
        <f aca="false">INDEX('Monthly Engine'!$C$29:$N$29,MATCH($D33,'Monthly Engine'!$C$4:$N$4,0))</f>
        <v>885.240885843371</v>
      </c>
      <c r="L33" s="12" t="n">
        <f aca="false">INDEX('Monthly Engine'!$C$35:$N$35,MATCH($D33,'Monthly Engine'!$C$4:$N$4,0))*$E33</f>
        <v>158257.719700416</v>
      </c>
      <c r="M33" s="37" t="n">
        <f aca="false">INDEX('Monthly Engine'!$C$39:$N$39,MATCH($D33,'Monthly Engine'!$C$4:$N$4,0))*$E33</f>
        <v>1340.93045088623</v>
      </c>
      <c r="N33" s="37" t="n">
        <f aca="false">INDEX('Monthly Engine'!$C$40:$N$40,MATCH($D33,'Monthly Engine'!$C$4:$N$4,0))/5</f>
        <v>19200</v>
      </c>
      <c r="O33" s="37" t="n">
        <f aca="false">N33-M33</f>
        <v>17859.0695491138</v>
      </c>
      <c r="P33" s="37" t="n">
        <f aca="false">INDEX('Monthly Engine'!$C$50:$N$50,MATCH($D33,'Monthly Engine'!$C$4:$N$4,0))*$E33</f>
        <v>76935.6432095152</v>
      </c>
      <c r="Q33" s="37" t="n">
        <f aca="false">INDEX('Monthly Engine'!$C$60:$N$60,MATCH($D33,'Monthly Engine'!$C$4:$N$4,0))*$E33</f>
        <v>9033.71844193705</v>
      </c>
      <c r="R33" s="38"/>
    </row>
    <row r="34" customFormat="false" ht="15" hidden="false" customHeight="true" outlineLevel="0" collapsed="false">
      <c r="A34" s="32" t="s">
        <v>309</v>
      </c>
      <c r="B34" s="33" t="n">
        <v>46407</v>
      </c>
      <c r="C34" s="33" t="n">
        <v>46413</v>
      </c>
      <c r="D34" s="32" t="s">
        <v>196</v>
      </c>
      <c r="E34" s="34" t="n">
        <v>0.175</v>
      </c>
      <c r="F34" s="35" t="n">
        <f aca="false">INDEX('Monthly Engine'!$C$13:$N$13,MATCH($D34,'Monthly Engine'!$C$4:$N$4,0))*$E34</f>
        <v>35.9437233987146</v>
      </c>
      <c r="G34" s="35" t="n">
        <f aca="false">INDEX('Monthly Engine'!$C$14:$N$14,MATCH($D34,'Monthly Engine'!$C$4:$N$4,0))*$E34</f>
        <v>12.6310224471237</v>
      </c>
      <c r="H34" s="35" t="n">
        <f aca="false">INDEX('Monthly Engine'!$C$28:$N$28,MATCH($D34,'Monthly Engine'!$C$4:$N$4,0))*$E34</f>
        <v>94.4584361585973</v>
      </c>
      <c r="I34" s="35" t="n">
        <f aca="false">(INDEX('Monthly Engine'!$C$31:$N$31,MATCH($D34,'Monthly Engine'!$C$4:$N$4,0))+INDEX('Monthly Engine'!$C$33:$N$33,MATCH($D34,'Monthly Engine'!$C$4:$N$4,0)))*$E34</f>
        <v>145.6875</v>
      </c>
      <c r="J34" s="36" t="n">
        <f aca="false">H34+I34</f>
        <v>240.145936158597</v>
      </c>
      <c r="K34" s="37" t="n">
        <f aca="false">INDEX('Monthly Engine'!$C$29:$N$29,MATCH($D34,'Monthly Engine'!$C$4:$N$4,0))</f>
        <v>885.240885843371</v>
      </c>
      <c r="L34" s="12" t="n">
        <f aca="false">INDEX('Monthly Engine'!$C$35:$N$35,MATCH($D34,'Monthly Engine'!$C$4:$N$4,0))*$E34</f>
        <v>158257.719700416</v>
      </c>
      <c r="M34" s="37" t="n">
        <f aca="false">INDEX('Monthly Engine'!$C$39:$N$39,MATCH($D34,'Monthly Engine'!$C$4:$N$4,0))*$E34</f>
        <v>1340.93045088623</v>
      </c>
      <c r="N34" s="37" t="n">
        <f aca="false">INDEX('Monthly Engine'!$C$40:$N$40,MATCH($D34,'Monthly Engine'!$C$4:$N$4,0))/5</f>
        <v>19200</v>
      </c>
      <c r="O34" s="37" t="n">
        <f aca="false">N34-M34</f>
        <v>17859.0695491138</v>
      </c>
      <c r="P34" s="37" t="n">
        <f aca="false">INDEX('Monthly Engine'!$C$50:$N$50,MATCH($D34,'Monthly Engine'!$C$4:$N$4,0))*$E34</f>
        <v>76935.6432095152</v>
      </c>
      <c r="Q34" s="37" t="n">
        <f aca="false">INDEX('Monthly Engine'!$C$60:$N$60,MATCH($D34,'Monthly Engine'!$C$4:$N$4,0))*$E34</f>
        <v>9033.71844193705</v>
      </c>
      <c r="R34" s="38"/>
    </row>
    <row r="35" customFormat="false" ht="15" hidden="false" customHeight="true" outlineLevel="0" collapsed="false">
      <c r="A35" s="32" t="s">
        <v>310</v>
      </c>
      <c r="B35" s="33" t="n">
        <v>46414</v>
      </c>
      <c r="C35" s="33" t="n">
        <v>46420</v>
      </c>
      <c r="D35" s="32" t="s">
        <v>196</v>
      </c>
      <c r="E35" s="34" t="n">
        <v>0.175</v>
      </c>
      <c r="F35" s="35" t="n">
        <f aca="false">INDEX('Monthly Engine'!$C$13:$N$13,MATCH($D35,'Monthly Engine'!$C$4:$N$4,0))*$E35</f>
        <v>35.9437233987146</v>
      </c>
      <c r="G35" s="35" t="n">
        <f aca="false">INDEX('Monthly Engine'!$C$14:$N$14,MATCH($D35,'Monthly Engine'!$C$4:$N$4,0))*$E35</f>
        <v>12.6310224471237</v>
      </c>
      <c r="H35" s="35" t="n">
        <f aca="false">INDEX('Monthly Engine'!$C$28:$N$28,MATCH($D35,'Monthly Engine'!$C$4:$N$4,0))*$E35</f>
        <v>94.4584361585973</v>
      </c>
      <c r="I35" s="35" t="n">
        <f aca="false">(INDEX('Monthly Engine'!$C$31:$N$31,MATCH($D35,'Monthly Engine'!$C$4:$N$4,0))+INDEX('Monthly Engine'!$C$33:$N$33,MATCH($D35,'Monthly Engine'!$C$4:$N$4,0)))*$E35</f>
        <v>145.6875</v>
      </c>
      <c r="J35" s="36" t="n">
        <f aca="false">H35+I35</f>
        <v>240.145936158597</v>
      </c>
      <c r="K35" s="37" t="n">
        <f aca="false">INDEX('Monthly Engine'!$C$29:$N$29,MATCH($D35,'Monthly Engine'!$C$4:$N$4,0))</f>
        <v>885.240885843371</v>
      </c>
      <c r="L35" s="12" t="n">
        <f aca="false">INDEX('Monthly Engine'!$C$35:$N$35,MATCH($D35,'Monthly Engine'!$C$4:$N$4,0))*$E35</f>
        <v>158257.719700416</v>
      </c>
      <c r="M35" s="37" t="n">
        <f aca="false">INDEX('Monthly Engine'!$C$39:$N$39,MATCH($D35,'Monthly Engine'!$C$4:$N$4,0))*$E35</f>
        <v>1340.93045088623</v>
      </c>
      <c r="N35" s="37" t="n">
        <f aca="false">INDEX('Monthly Engine'!$C$40:$N$40,MATCH($D35,'Monthly Engine'!$C$4:$N$4,0))/5</f>
        <v>19200</v>
      </c>
      <c r="O35" s="37" t="n">
        <f aca="false">N35-M35</f>
        <v>17859.0695491138</v>
      </c>
      <c r="P35" s="37" t="n">
        <f aca="false">INDEX('Monthly Engine'!$C$50:$N$50,MATCH($D35,'Monthly Engine'!$C$4:$N$4,0))*$E35</f>
        <v>76935.6432095152</v>
      </c>
      <c r="Q35" s="37" t="n">
        <f aca="false">INDEX('Monthly Engine'!$C$60:$N$60,MATCH($D35,'Monthly Engine'!$C$4:$N$4,0))*$E35</f>
        <v>9033.71844193705</v>
      </c>
      <c r="R35" s="38"/>
    </row>
    <row r="36" customFormat="false" ht="15" hidden="false" customHeight="true" outlineLevel="0" collapsed="false">
      <c r="A36" s="32" t="s">
        <v>311</v>
      </c>
      <c r="B36" s="33" t="n">
        <v>46421</v>
      </c>
      <c r="C36" s="33" t="n">
        <v>46427</v>
      </c>
      <c r="D36" s="32" t="s">
        <v>197</v>
      </c>
      <c r="E36" s="34" t="n">
        <v>0.25</v>
      </c>
      <c r="F36" s="35" t="n">
        <f aca="false">INDEX('Monthly Engine'!$C$13:$N$13,MATCH($D36,'Monthly Engine'!$C$4:$N$4,0))*$E36</f>
        <v>52.7532258836857</v>
      </c>
      <c r="G36" s="35" t="n">
        <f aca="false">INDEX('Monthly Engine'!$C$14:$N$14,MATCH($D36,'Monthly Engine'!$C$4:$N$4,0))*$E36</f>
        <v>19.9091826154388</v>
      </c>
      <c r="H36" s="35" t="n">
        <f aca="false">INDEX('Monthly Engine'!$C$28:$N$28,MATCH($D36,'Monthly Engine'!$C$4:$N$4,0))*$E36</f>
        <v>145.125355598135</v>
      </c>
      <c r="I36" s="35" t="n">
        <f aca="false">(INDEX('Monthly Engine'!$C$31:$N$31,MATCH($D36,'Monthly Engine'!$C$4:$N$4,0))+INDEX('Monthly Engine'!$C$33:$N$33,MATCH($D36,'Monthly Engine'!$C$4:$N$4,0)))*$E36</f>
        <v>241.53125</v>
      </c>
      <c r="J36" s="36" t="n">
        <f aca="false">H36+I36</f>
        <v>386.656605598135</v>
      </c>
      <c r="K36" s="37" t="n">
        <f aca="false">INDEX('Monthly Engine'!$C$29:$N$29,MATCH($D36,'Monthly Engine'!$C$4:$N$4,0))</f>
        <v>894.978535587648</v>
      </c>
      <c r="L36" s="12" t="n">
        <f aca="false">INDEX('Monthly Engine'!$C$35:$N$35,MATCH($D36,'Monthly Engine'!$C$4:$N$4,0))*$E36</f>
        <v>253360.015729855</v>
      </c>
      <c r="M36" s="37" t="n">
        <f aca="false">INDEX('Monthly Engine'!$C$39:$N$39,MATCH($D36,'Monthly Engine'!$C$4:$N$4,0))*$E36</f>
        <v>2158.36757833223</v>
      </c>
      <c r="N36" s="37" t="n">
        <f aca="false">INDEX('Monthly Engine'!$C$40:$N$40,MATCH($D36,'Monthly Engine'!$C$4:$N$4,0))/4</f>
        <v>24000</v>
      </c>
      <c r="O36" s="37" t="n">
        <f aca="false">N36-M36</f>
        <v>21841.6324216678</v>
      </c>
      <c r="P36" s="37" t="n">
        <f aca="false">INDEX('Monthly Engine'!$C$50:$N$50,MATCH($D36,'Monthly Engine'!$C$4:$N$4,0))*$E36</f>
        <v>123872.525772982</v>
      </c>
      <c r="Q36" s="37" t="n">
        <f aca="false">INDEX('Monthly Engine'!$C$60:$N$60,MATCH($D36,'Monthly Engine'!$C$4:$N$4,0))*$E36</f>
        <v>24905.8886216152</v>
      </c>
      <c r="R36" s="38"/>
    </row>
    <row r="37" customFormat="false" ht="15" hidden="false" customHeight="true" outlineLevel="0" collapsed="false">
      <c r="A37" s="32" t="s">
        <v>312</v>
      </c>
      <c r="B37" s="33" t="n">
        <v>46428</v>
      </c>
      <c r="C37" s="33" t="n">
        <v>46434</v>
      </c>
      <c r="D37" s="32" t="s">
        <v>197</v>
      </c>
      <c r="E37" s="34" t="n">
        <v>0.25</v>
      </c>
      <c r="F37" s="35" t="n">
        <f aca="false">INDEX('Monthly Engine'!$C$13:$N$13,MATCH($D37,'Monthly Engine'!$C$4:$N$4,0))*$E37</f>
        <v>52.7532258836857</v>
      </c>
      <c r="G37" s="35" t="n">
        <f aca="false">INDEX('Monthly Engine'!$C$14:$N$14,MATCH($D37,'Monthly Engine'!$C$4:$N$4,0))*$E37</f>
        <v>19.9091826154388</v>
      </c>
      <c r="H37" s="35" t="n">
        <f aca="false">INDEX('Monthly Engine'!$C$28:$N$28,MATCH($D37,'Monthly Engine'!$C$4:$N$4,0))*$E37</f>
        <v>145.125355598135</v>
      </c>
      <c r="I37" s="35" t="n">
        <f aca="false">(INDEX('Monthly Engine'!$C$31:$N$31,MATCH($D37,'Monthly Engine'!$C$4:$N$4,0))+INDEX('Monthly Engine'!$C$33:$N$33,MATCH($D37,'Monthly Engine'!$C$4:$N$4,0)))*$E37</f>
        <v>241.53125</v>
      </c>
      <c r="J37" s="36" t="n">
        <f aca="false">H37+I37</f>
        <v>386.656605598135</v>
      </c>
      <c r="K37" s="37" t="n">
        <f aca="false">INDEX('Monthly Engine'!$C$29:$N$29,MATCH($D37,'Monthly Engine'!$C$4:$N$4,0))</f>
        <v>894.978535587648</v>
      </c>
      <c r="L37" s="12" t="n">
        <f aca="false">INDEX('Monthly Engine'!$C$35:$N$35,MATCH($D37,'Monthly Engine'!$C$4:$N$4,0))*$E37</f>
        <v>253360.015729855</v>
      </c>
      <c r="M37" s="37" t="n">
        <f aca="false">INDEX('Monthly Engine'!$C$39:$N$39,MATCH($D37,'Monthly Engine'!$C$4:$N$4,0))*$E37</f>
        <v>2158.36757833223</v>
      </c>
      <c r="N37" s="37" t="n">
        <f aca="false">INDEX('Monthly Engine'!$C$40:$N$40,MATCH($D37,'Monthly Engine'!$C$4:$N$4,0))/4</f>
        <v>24000</v>
      </c>
      <c r="O37" s="37" t="n">
        <f aca="false">N37-M37</f>
        <v>21841.6324216678</v>
      </c>
      <c r="P37" s="37" t="n">
        <f aca="false">INDEX('Monthly Engine'!$C$50:$N$50,MATCH($D37,'Monthly Engine'!$C$4:$N$4,0))*$E37</f>
        <v>123872.525772982</v>
      </c>
      <c r="Q37" s="37" t="n">
        <f aca="false">INDEX('Monthly Engine'!$C$60:$N$60,MATCH($D37,'Monthly Engine'!$C$4:$N$4,0))*$E37</f>
        <v>24905.8886216152</v>
      </c>
      <c r="R37" s="38"/>
    </row>
    <row r="38" customFormat="false" ht="15" hidden="false" customHeight="true" outlineLevel="0" collapsed="false">
      <c r="A38" s="32" t="s">
        <v>313</v>
      </c>
      <c r="B38" s="33" t="n">
        <v>46435</v>
      </c>
      <c r="C38" s="33" t="n">
        <v>46441</v>
      </c>
      <c r="D38" s="32" t="s">
        <v>197</v>
      </c>
      <c r="E38" s="34" t="n">
        <v>0.25</v>
      </c>
      <c r="F38" s="35" t="n">
        <f aca="false">INDEX('Monthly Engine'!$C$13:$N$13,MATCH($D38,'Monthly Engine'!$C$4:$N$4,0))*$E38</f>
        <v>52.7532258836857</v>
      </c>
      <c r="G38" s="35" t="n">
        <f aca="false">INDEX('Monthly Engine'!$C$14:$N$14,MATCH($D38,'Monthly Engine'!$C$4:$N$4,0))*$E38</f>
        <v>19.9091826154388</v>
      </c>
      <c r="H38" s="35" t="n">
        <f aca="false">INDEX('Monthly Engine'!$C$28:$N$28,MATCH($D38,'Monthly Engine'!$C$4:$N$4,0))*$E38</f>
        <v>145.125355598135</v>
      </c>
      <c r="I38" s="35" t="n">
        <f aca="false">(INDEX('Monthly Engine'!$C$31:$N$31,MATCH($D38,'Monthly Engine'!$C$4:$N$4,0))+INDEX('Monthly Engine'!$C$33:$N$33,MATCH($D38,'Monthly Engine'!$C$4:$N$4,0)))*$E38</f>
        <v>241.53125</v>
      </c>
      <c r="J38" s="36" t="n">
        <f aca="false">H38+I38</f>
        <v>386.656605598135</v>
      </c>
      <c r="K38" s="37" t="n">
        <f aca="false">INDEX('Monthly Engine'!$C$29:$N$29,MATCH($D38,'Monthly Engine'!$C$4:$N$4,0))</f>
        <v>894.978535587648</v>
      </c>
      <c r="L38" s="12" t="n">
        <f aca="false">INDEX('Monthly Engine'!$C$35:$N$35,MATCH($D38,'Monthly Engine'!$C$4:$N$4,0))*$E38</f>
        <v>253360.015729855</v>
      </c>
      <c r="M38" s="37" t="n">
        <f aca="false">INDEX('Monthly Engine'!$C$39:$N$39,MATCH($D38,'Monthly Engine'!$C$4:$N$4,0))*$E38</f>
        <v>2158.36757833223</v>
      </c>
      <c r="N38" s="37" t="n">
        <f aca="false">INDEX('Monthly Engine'!$C$40:$N$40,MATCH($D38,'Monthly Engine'!$C$4:$N$4,0))/4</f>
        <v>24000</v>
      </c>
      <c r="O38" s="37" t="n">
        <f aca="false">N38-M38</f>
        <v>21841.6324216678</v>
      </c>
      <c r="P38" s="37" t="n">
        <f aca="false">INDEX('Monthly Engine'!$C$50:$N$50,MATCH($D38,'Monthly Engine'!$C$4:$N$4,0))*$E38</f>
        <v>123872.525772982</v>
      </c>
      <c r="Q38" s="37" t="n">
        <f aca="false">INDEX('Monthly Engine'!$C$60:$N$60,MATCH($D38,'Monthly Engine'!$C$4:$N$4,0))*$E38</f>
        <v>24905.8886216152</v>
      </c>
      <c r="R38" s="38"/>
    </row>
    <row r="39" customFormat="false" ht="15" hidden="false" customHeight="true" outlineLevel="0" collapsed="false">
      <c r="A39" s="32" t="s">
        <v>314</v>
      </c>
      <c r="B39" s="33" t="n">
        <v>46442</v>
      </c>
      <c r="C39" s="33" t="n">
        <v>46448</v>
      </c>
      <c r="D39" s="32" t="s">
        <v>197</v>
      </c>
      <c r="E39" s="34" t="n">
        <v>0.25</v>
      </c>
      <c r="F39" s="35" t="n">
        <f aca="false">INDEX('Monthly Engine'!$C$13:$N$13,MATCH($D39,'Monthly Engine'!$C$4:$N$4,0))*$E39</f>
        <v>52.7532258836857</v>
      </c>
      <c r="G39" s="35" t="n">
        <f aca="false">INDEX('Monthly Engine'!$C$14:$N$14,MATCH($D39,'Monthly Engine'!$C$4:$N$4,0))*$E39</f>
        <v>19.9091826154388</v>
      </c>
      <c r="H39" s="35" t="n">
        <f aca="false">INDEX('Monthly Engine'!$C$28:$N$28,MATCH($D39,'Monthly Engine'!$C$4:$N$4,0))*$E39</f>
        <v>145.125355598135</v>
      </c>
      <c r="I39" s="35" t="n">
        <f aca="false">(INDEX('Monthly Engine'!$C$31:$N$31,MATCH($D39,'Monthly Engine'!$C$4:$N$4,0))+INDEX('Monthly Engine'!$C$33:$N$33,MATCH($D39,'Monthly Engine'!$C$4:$N$4,0)))*$E39</f>
        <v>241.53125</v>
      </c>
      <c r="J39" s="36" t="n">
        <f aca="false">H39+I39</f>
        <v>386.656605598135</v>
      </c>
      <c r="K39" s="37" t="n">
        <f aca="false">INDEX('Monthly Engine'!$C$29:$N$29,MATCH($D39,'Monthly Engine'!$C$4:$N$4,0))</f>
        <v>894.978535587648</v>
      </c>
      <c r="L39" s="12" t="n">
        <f aca="false">INDEX('Monthly Engine'!$C$35:$N$35,MATCH($D39,'Monthly Engine'!$C$4:$N$4,0))*$E39</f>
        <v>253360.015729855</v>
      </c>
      <c r="M39" s="37" t="n">
        <f aca="false">INDEX('Monthly Engine'!$C$39:$N$39,MATCH($D39,'Monthly Engine'!$C$4:$N$4,0))*$E39</f>
        <v>2158.36757833223</v>
      </c>
      <c r="N39" s="37" t="n">
        <f aca="false">INDEX('Monthly Engine'!$C$40:$N$40,MATCH($D39,'Monthly Engine'!$C$4:$N$4,0))/4</f>
        <v>24000</v>
      </c>
      <c r="O39" s="37" t="n">
        <f aca="false">N39-M39</f>
        <v>21841.6324216678</v>
      </c>
      <c r="P39" s="37" t="n">
        <f aca="false">INDEX('Monthly Engine'!$C$50:$N$50,MATCH($D39,'Monthly Engine'!$C$4:$N$4,0))*$E39</f>
        <v>123872.525772982</v>
      </c>
      <c r="Q39" s="37" t="n">
        <f aca="false">INDEX('Monthly Engine'!$C$60:$N$60,MATCH($D39,'Monthly Engine'!$C$4:$N$4,0))*$E39</f>
        <v>24905.8886216152</v>
      </c>
      <c r="R39" s="38"/>
    </row>
    <row r="40" customFormat="false" ht="15" hidden="false" customHeight="true" outlineLevel="0" collapsed="false">
      <c r="A40" s="32" t="s">
        <v>315</v>
      </c>
      <c r="B40" s="33" t="n">
        <v>46449</v>
      </c>
      <c r="C40" s="33" t="n">
        <v>46455</v>
      </c>
      <c r="D40" s="32" t="s">
        <v>198</v>
      </c>
      <c r="E40" s="34" t="n">
        <v>0.25</v>
      </c>
      <c r="F40" s="35" t="n">
        <f aca="false">INDEX('Monthly Engine'!$C$13:$N$13,MATCH($D40,'Monthly Engine'!$C$4:$N$4,0))*$E40</f>
        <v>61.3430293394068</v>
      </c>
      <c r="G40" s="35" t="n">
        <f aca="false">INDEX('Monthly Engine'!$C$14:$N$14,MATCH($D40,'Monthly Engine'!$C$4:$N$4,0))*$E40</f>
        <v>22.4645633867476</v>
      </c>
      <c r="H40" s="35" t="n">
        <f aca="false">INDEX('Monthly Engine'!$C$28:$N$28,MATCH($D40,'Monthly Engine'!$C$4:$N$4,0))*$E40</f>
        <v>167.063987934264</v>
      </c>
      <c r="I40" s="35" t="n">
        <f aca="false">(INDEX('Monthly Engine'!$C$31:$N$31,MATCH($D40,'Monthly Engine'!$C$4:$N$4,0))+INDEX('Monthly Engine'!$C$33:$N$33,MATCH($D40,'Monthly Engine'!$C$4:$N$4,0)))*$E40</f>
        <v>309.864583333333</v>
      </c>
      <c r="J40" s="36" t="n">
        <f aca="false">H40+I40</f>
        <v>476.928571267597</v>
      </c>
      <c r="K40" s="37" t="n">
        <f aca="false">INDEX('Monthly Engine'!$C$29:$N$29,MATCH($D40,'Monthly Engine'!$C$4:$N$4,0))</f>
        <v>904.823299479112</v>
      </c>
      <c r="L40" s="12" t="n">
        <f aca="false">INDEX('Monthly Engine'!$C$35:$N$35,MATCH($D40,'Monthly Engine'!$C$4:$N$4,0))*$E40</f>
        <v>309321.555453486</v>
      </c>
      <c r="M40" s="37" t="n">
        <f aca="false">INDEX('Monthly Engine'!$C$39:$N$39,MATCH($D40,'Monthly Engine'!$C$4:$N$4,0))*$E40</f>
        <v>2651.59094851338</v>
      </c>
      <c r="N40" s="37" t="n">
        <f aca="false">INDEX('Monthly Engine'!$C$40:$N$40,MATCH($D40,'Monthly Engine'!$C$4:$N$4,0))/4</f>
        <v>24000</v>
      </c>
      <c r="O40" s="37" t="n">
        <f aca="false">N40-M40</f>
        <v>21348.4090514866</v>
      </c>
      <c r="P40" s="37" t="n">
        <f aca="false">INDEX('Monthly Engine'!$C$50:$N$50,MATCH($D40,'Monthly Engine'!$C$4:$N$4,0))*$E40</f>
        <v>151968.564768777</v>
      </c>
      <c r="Q40" s="37" t="n">
        <f aca="false">INDEX('Monthly Engine'!$C$60:$N$60,MATCH($D40,'Monthly Engine'!$C$4:$N$4,0))*$E40</f>
        <v>40941.7207598418</v>
      </c>
      <c r="R40" s="38"/>
    </row>
    <row r="41" customFormat="false" ht="15" hidden="false" customHeight="true" outlineLevel="0" collapsed="false">
      <c r="A41" s="32" t="s">
        <v>316</v>
      </c>
      <c r="B41" s="33" t="n">
        <v>46456</v>
      </c>
      <c r="C41" s="33" t="n">
        <v>46462</v>
      </c>
      <c r="D41" s="32" t="s">
        <v>198</v>
      </c>
      <c r="E41" s="34" t="n">
        <v>0.25</v>
      </c>
      <c r="F41" s="35" t="n">
        <f aca="false">INDEX('Monthly Engine'!$C$13:$N$13,MATCH($D41,'Monthly Engine'!$C$4:$N$4,0))*$E41</f>
        <v>61.3430293394068</v>
      </c>
      <c r="G41" s="35" t="n">
        <f aca="false">INDEX('Monthly Engine'!$C$14:$N$14,MATCH($D41,'Monthly Engine'!$C$4:$N$4,0))*$E41</f>
        <v>22.4645633867476</v>
      </c>
      <c r="H41" s="35" t="n">
        <f aca="false">INDEX('Monthly Engine'!$C$28:$N$28,MATCH($D41,'Monthly Engine'!$C$4:$N$4,0))*$E41</f>
        <v>167.063987934264</v>
      </c>
      <c r="I41" s="35" t="n">
        <f aca="false">(INDEX('Monthly Engine'!$C$31:$N$31,MATCH($D41,'Monthly Engine'!$C$4:$N$4,0))+INDEX('Monthly Engine'!$C$33:$N$33,MATCH($D41,'Monthly Engine'!$C$4:$N$4,0)))*$E41</f>
        <v>309.864583333333</v>
      </c>
      <c r="J41" s="36" t="n">
        <f aca="false">H41+I41</f>
        <v>476.928571267597</v>
      </c>
      <c r="K41" s="37" t="n">
        <f aca="false">INDEX('Monthly Engine'!$C$29:$N$29,MATCH($D41,'Monthly Engine'!$C$4:$N$4,0))</f>
        <v>904.823299479112</v>
      </c>
      <c r="L41" s="12" t="n">
        <f aca="false">INDEX('Monthly Engine'!$C$35:$N$35,MATCH($D41,'Monthly Engine'!$C$4:$N$4,0))*$E41</f>
        <v>309321.555453486</v>
      </c>
      <c r="M41" s="37" t="n">
        <f aca="false">INDEX('Monthly Engine'!$C$39:$N$39,MATCH($D41,'Monthly Engine'!$C$4:$N$4,0))*$E41</f>
        <v>2651.59094851338</v>
      </c>
      <c r="N41" s="37" t="n">
        <f aca="false">INDEX('Monthly Engine'!$C$40:$N$40,MATCH($D41,'Monthly Engine'!$C$4:$N$4,0))/4</f>
        <v>24000</v>
      </c>
      <c r="O41" s="37" t="n">
        <f aca="false">N41-M41</f>
        <v>21348.4090514866</v>
      </c>
      <c r="P41" s="37" t="n">
        <f aca="false">INDEX('Monthly Engine'!$C$50:$N$50,MATCH($D41,'Monthly Engine'!$C$4:$N$4,0))*$E41</f>
        <v>151968.564768777</v>
      </c>
      <c r="Q41" s="37" t="n">
        <f aca="false">INDEX('Monthly Engine'!$C$60:$N$60,MATCH($D41,'Monthly Engine'!$C$4:$N$4,0))*$E41</f>
        <v>40941.7207598418</v>
      </c>
      <c r="R41" s="38"/>
    </row>
    <row r="42" customFormat="false" ht="15" hidden="false" customHeight="true" outlineLevel="0" collapsed="false">
      <c r="A42" s="32" t="s">
        <v>317</v>
      </c>
      <c r="B42" s="33" t="n">
        <v>46463</v>
      </c>
      <c r="C42" s="33" t="n">
        <v>46469</v>
      </c>
      <c r="D42" s="32" t="s">
        <v>198</v>
      </c>
      <c r="E42" s="34" t="n">
        <v>0.25</v>
      </c>
      <c r="F42" s="35" t="n">
        <f aca="false">INDEX('Monthly Engine'!$C$13:$N$13,MATCH($D42,'Monthly Engine'!$C$4:$N$4,0))*$E42</f>
        <v>61.3430293394068</v>
      </c>
      <c r="G42" s="35" t="n">
        <f aca="false">INDEX('Monthly Engine'!$C$14:$N$14,MATCH($D42,'Monthly Engine'!$C$4:$N$4,0))*$E42</f>
        <v>22.4645633867476</v>
      </c>
      <c r="H42" s="35" t="n">
        <f aca="false">INDEX('Monthly Engine'!$C$28:$N$28,MATCH($D42,'Monthly Engine'!$C$4:$N$4,0))*$E42</f>
        <v>167.063987934264</v>
      </c>
      <c r="I42" s="35" t="n">
        <f aca="false">(INDEX('Monthly Engine'!$C$31:$N$31,MATCH($D42,'Monthly Engine'!$C$4:$N$4,0))+INDEX('Monthly Engine'!$C$33:$N$33,MATCH($D42,'Monthly Engine'!$C$4:$N$4,0)))*$E42</f>
        <v>309.864583333333</v>
      </c>
      <c r="J42" s="36" t="n">
        <f aca="false">H42+I42</f>
        <v>476.928571267597</v>
      </c>
      <c r="K42" s="37" t="n">
        <f aca="false">INDEX('Monthly Engine'!$C$29:$N$29,MATCH($D42,'Monthly Engine'!$C$4:$N$4,0))</f>
        <v>904.823299479112</v>
      </c>
      <c r="L42" s="12" t="n">
        <f aca="false">INDEX('Monthly Engine'!$C$35:$N$35,MATCH($D42,'Monthly Engine'!$C$4:$N$4,0))*$E42</f>
        <v>309321.555453486</v>
      </c>
      <c r="M42" s="37" t="n">
        <f aca="false">INDEX('Monthly Engine'!$C$39:$N$39,MATCH($D42,'Monthly Engine'!$C$4:$N$4,0))*$E42</f>
        <v>2651.59094851338</v>
      </c>
      <c r="N42" s="37" t="n">
        <f aca="false">INDEX('Monthly Engine'!$C$40:$N$40,MATCH($D42,'Monthly Engine'!$C$4:$N$4,0))/4</f>
        <v>24000</v>
      </c>
      <c r="O42" s="37" t="n">
        <f aca="false">N42-M42</f>
        <v>21348.4090514866</v>
      </c>
      <c r="P42" s="37" t="n">
        <f aca="false">INDEX('Monthly Engine'!$C$50:$N$50,MATCH($D42,'Monthly Engine'!$C$4:$N$4,0))*$E42</f>
        <v>151968.564768777</v>
      </c>
      <c r="Q42" s="37" t="n">
        <f aca="false">INDEX('Monthly Engine'!$C$60:$N$60,MATCH($D42,'Monthly Engine'!$C$4:$N$4,0))*$E42</f>
        <v>40941.7207598418</v>
      </c>
      <c r="R42" s="38"/>
    </row>
    <row r="43" customFormat="false" ht="15" hidden="false" customHeight="true" outlineLevel="0" collapsed="false">
      <c r="A43" s="32" t="s">
        <v>318</v>
      </c>
      <c r="B43" s="33" t="n">
        <v>46470</v>
      </c>
      <c r="C43" s="33" t="n">
        <v>46476</v>
      </c>
      <c r="D43" s="32" t="s">
        <v>198</v>
      </c>
      <c r="E43" s="34" t="n">
        <v>0.25</v>
      </c>
      <c r="F43" s="35" t="n">
        <f aca="false">INDEX('Monthly Engine'!$C$13:$N$13,MATCH($D43,'Monthly Engine'!$C$4:$N$4,0))*$E43</f>
        <v>61.3430293394068</v>
      </c>
      <c r="G43" s="35" t="n">
        <f aca="false">INDEX('Monthly Engine'!$C$14:$N$14,MATCH($D43,'Monthly Engine'!$C$4:$N$4,0))*$E43</f>
        <v>22.4645633867476</v>
      </c>
      <c r="H43" s="35" t="n">
        <f aca="false">INDEX('Monthly Engine'!$C$28:$N$28,MATCH($D43,'Monthly Engine'!$C$4:$N$4,0))*$E43</f>
        <v>167.063987934264</v>
      </c>
      <c r="I43" s="35" t="n">
        <f aca="false">(INDEX('Monthly Engine'!$C$31:$N$31,MATCH($D43,'Monthly Engine'!$C$4:$N$4,0))+INDEX('Monthly Engine'!$C$33:$N$33,MATCH($D43,'Monthly Engine'!$C$4:$N$4,0)))*$E43</f>
        <v>309.864583333333</v>
      </c>
      <c r="J43" s="36" t="n">
        <f aca="false">H43+I43</f>
        <v>476.928571267597</v>
      </c>
      <c r="K43" s="37" t="n">
        <f aca="false">INDEX('Monthly Engine'!$C$29:$N$29,MATCH($D43,'Monthly Engine'!$C$4:$N$4,0))</f>
        <v>904.823299479112</v>
      </c>
      <c r="L43" s="12" t="n">
        <f aca="false">INDEX('Monthly Engine'!$C$35:$N$35,MATCH($D43,'Monthly Engine'!$C$4:$N$4,0))*$E43</f>
        <v>309321.555453486</v>
      </c>
      <c r="M43" s="37" t="n">
        <f aca="false">INDEX('Monthly Engine'!$C$39:$N$39,MATCH($D43,'Monthly Engine'!$C$4:$N$4,0))*$E43</f>
        <v>2651.59094851338</v>
      </c>
      <c r="N43" s="37" t="n">
        <f aca="false">INDEX('Monthly Engine'!$C$40:$N$40,MATCH($D43,'Monthly Engine'!$C$4:$N$4,0))/4</f>
        <v>24000</v>
      </c>
      <c r="O43" s="37" t="n">
        <f aca="false">N43-M43</f>
        <v>21348.4090514866</v>
      </c>
      <c r="P43" s="37" t="n">
        <f aca="false">INDEX('Monthly Engine'!$C$50:$N$50,MATCH($D43,'Monthly Engine'!$C$4:$N$4,0))*$E43</f>
        <v>151968.564768777</v>
      </c>
      <c r="Q43" s="37" t="n">
        <f aca="false">INDEX('Monthly Engine'!$C$60:$N$60,MATCH($D43,'Monthly Engine'!$C$4:$N$4,0))*$E43</f>
        <v>40941.7207598418</v>
      </c>
      <c r="R43" s="38"/>
    </row>
    <row r="44" customFormat="false" ht="15" hidden="false" customHeight="true" outlineLevel="0" collapsed="false">
      <c r="A44" s="32" t="s">
        <v>319</v>
      </c>
      <c r="B44" s="33" t="n">
        <v>46477</v>
      </c>
      <c r="C44" s="33" t="n">
        <v>46483</v>
      </c>
      <c r="D44" s="32" t="s">
        <v>199</v>
      </c>
      <c r="E44" s="34" t="n">
        <v>0.25</v>
      </c>
      <c r="F44" s="35" t="n">
        <f aca="false">INDEX('Monthly Engine'!$C$13:$N$13,MATCH($D44,'Monthly Engine'!$C$4:$N$4,0))*$E44</f>
        <v>76.1268899598063</v>
      </c>
      <c r="G44" s="35" t="n">
        <f aca="false">INDEX('Monthly Engine'!$C$14:$N$14,MATCH($D44,'Monthly Engine'!$C$4:$N$4,0))*$E44</f>
        <v>25.7747176497466</v>
      </c>
      <c r="H44" s="35" t="n">
        <f aca="false">INDEX('Monthly Engine'!$C$28:$N$28,MATCH($D44,'Monthly Engine'!$C$4:$N$4,0))*$E44</f>
        <v>200.665810314313</v>
      </c>
      <c r="I44" s="35" t="n">
        <f aca="false">(INDEX('Monthly Engine'!$C$31:$N$31,MATCH($D44,'Monthly Engine'!$C$4:$N$4,0))+INDEX('Monthly Engine'!$C$33:$N$33,MATCH($D44,'Monthly Engine'!$C$4:$N$4,0)))*$E44</f>
        <v>416.8125</v>
      </c>
      <c r="J44" s="36" t="n">
        <f aca="false">H44+I44</f>
        <v>617.478310314313</v>
      </c>
      <c r="K44" s="37" t="n">
        <f aca="false">INDEX('Monthly Engine'!$C$29:$N$29,MATCH($D44,'Monthly Engine'!$C$4:$N$4,0))</f>
        <v>914.776355773382</v>
      </c>
      <c r="L44" s="12" t="n">
        <f aca="false">INDEX('Monthly Engine'!$C$35:$N$35,MATCH($D44,'Monthly Engine'!$C$4:$N$4,0))*$E44</f>
        <v>396050.96368764</v>
      </c>
      <c r="M44" s="37" t="n">
        <f aca="false">INDEX('Monthly Engine'!$C$39:$N$39,MATCH($D44,'Monthly Engine'!$C$4:$N$4,0))*$E44</f>
        <v>3415.45033849059</v>
      </c>
      <c r="N44" s="37" t="n">
        <f aca="false">INDEX('Monthly Engine'!$C$40:$N$40,MATCH($D44,'Monthly Engine'!$C$4:$N$4,0))/4</f>
        <v>24000</v>
      </c>
      <c r="O44" s="37" t="n">
        <f aca="false">N44-M44</f>
        <v>20584.5496615094</v>
      </c>
      <c r="P44" s="37" t="n">
        <f aca="false">INDEX('Monthly Engine'!$C$50:$N$50,MATCH($D44,'Monthly Engine'!$C$4:$N$4,0))*$E44</f>
        <v>195564.673466078</v>
      </c>
      <c r="Q44" s="37" t="n">
        <f aca="false">INDEX('Monthly Engine'!$C$60:$N$60,MATCH($D44,'Monthly Engine'!$C$4:$N$4,0))*$E44</f>
        <v>82376.487256696</v>
      </c>
      <c r="R44" s="38"/>
    </row>
    <row r="45" customFormat="false" ht="15" hidden="false" customHeight="true" outlineLevel="0" collapsed="false">
      <c r="A45" s="32" t="s">
        <v>320</v>
      </c>
      <c r="B45" s="33" t="n">
        <v>46484</v>
      </c>
      <c r="C45" s="33" t="n">
        <v>46490</v>
      </c>
      <c r="D45" s="32" t="s">
        <v>199</v>
      </c>
      <c r="E45" s="34" t="n">
        <v>0.25</v>
      </c>
      <c r="F45" s="35" t="n">
        <f aca="false">INDEX('Monthly Engine'!$C$13:$N$13,MATCH($D45,'Monthly Engine'!$C$4:$N$4,0))*$E45</f>
        <v>76.1268899598063</v>
      </c>
      <c r="G45" s="35" t="n">
        <f aca="false">INDEX('Monthly Engine'!$C$14:$N$14,MATCH($D45,'Monthly Engine'!$C$4:$N$4,0))*$E45</f>
        <v>25.7747176497466</v>
      </c>
      <c r="H45" s="35" t="n">
        <f aca="false">INDEX('Monthly Engine'!$C$28:$N$28,MATCH($D45,'Monthly Engine'!$C$4:$N$4,0))*$E45</f>
        <v>200.665810314313</v>
      </c>
      <c r="I45" s="35" t="n">
        <f aca="false">(INDEX('Monthly Engine'!$C$31:$N$31,MATCH($D45,'Monthly Engine'!$C$4:$N$4,0))+INDEX('Monthly Engine'!$C$33:$N$33,MATCH($D45,'Monthly Engine'!$C$4:$N$4,0)))*$E45</f>
        <v>416.8125</v>
      </c>
      <c r="J45" s="36" t="n">
        <f aca="false">H45+I45</f>
        <v>617.478310314313</v>
      </c>
      <c r="K45" s="37" t="n">
        <f aca="false">INDEX('Monthly Engine'!$C$29:$N$29,MATCH($D45,'Monthly Engine'!$C$4:$N$4,0))</f>
        <v>914.776355773382</v>
      </c>
      <c r="L45" s="12" t="n">
        <f aca="false">INDEX('Monthly Engine'!$C$35:$N$35,MATCH($D45,'Monthly Engine'!$C$4:$N$4,0))*$E45</f>
        <v>396050.96368764</v>
      </c>
      <c r="M45" s="37" t="n">
        <f aca="false">INDEX('Monthly Engine'!$C$39:$N$39,MATCH($D45,'Monthly Engine'!$C$4:$N$4,0))*$E45</f>
        <v>3415.45033849059</v>
      </c>
      <c r="N45" s="37" t="n">
        <f aca="false">INDEX('Monthly Engine'!$C$40:$N$40,MATCH($D45,'Monthly Engine'!$C$4:$N$4,0))/4</f>
        <v>24000</v>
      </c>
      <c r="O45" s="37" t="n">
        <f aca="false">N45-M45</f>
        <v>20584.5496615094</v>
      </c>
      <c r="P45" s="37" t="n">
        <f aca="false">INDEX('Monthly Engine'!$C$50:$N$50,MATCH($D45,'Monthly Engine'!$C$4:$N$4,0))*$E45</f>
        <v>195564.673466078</v>
      </c>
      <c r="Q45" s="37" t="n">
        <f aca="false">INDEX('Monthly Engine'!$C$60:$N$60,MATCH($D45,'Monthly Engine'!$C$4:$N$4,0))*$E45</f>
        <v>82376.487256696</v>
      </c>
      <c r="R45" s="38"/>
    </row>
    <row r="46" customFormat="false" ht="15" hidden="false" customHeight="true" outlineLevel="0" collapsed="false">
      <c r="A46" s="32" t="s">
        <v>321</v>
      </c>
      <c r="B46" s="33" t="n">
        <v>46491</v>
      </c>
      <c r="C46" s="33" t="n">
        <v>46497</v>
      </c>
      <c r="D46" s="32" t="s">
        <v>199</v>
      </c>
      <c r="E46" s="34" t="n">
        <v>0.25</v>
      </c>
      <c r="F46" s="35" t="n">
        <f aca="false">INDEX('Monthly Engine'!$C$13:$N$13,MATCH($D46,'Monthly Engine'!$C$4:$N$4,0))*$E46</f>
        <v>76.1268899598063</v>
      </c>
      <c r="G46" s="35" t="n">
        <f aca="false">INDEX('Monthly Engine'!$C$14:$N$14,MATCH($D46,'Monthly Engine'!$C$4:$N$4,0))*$E46</f>
        <v>25.7747176497466</v>
      </c>
      <c r="H46" s="35" t="n">
        <f aca="false">INDEX('Monthly Engine'!$C$28:$N$28,MATCH($D46,'Monthly Engine'!$C$4:$N$4,0))*$E46</f>
        <v>200.665810314313</v>
      </c>
      <c r="I46" s="35" t="n">
        <f aca="false">(INDEX('Monthly Engine'!$C$31:$N$31,MATCH($D46,'Monthly Engine'!$C$4:$N$4,0))+INDEX('Monthly Engine'!$C$33:$N$33,MATCH($D46,'Monthly Engine'!$C$4:$N$4,0)))*$E46</f>
        <v>416.8125</v>
      </c>
      <c r="J46" s="36" t="n">
        <f aca="false">H46+I46</f>
        <v>617.478310314313</v>
      </c>
      <c r="K46" s="37" t="n">
        <f aca="false">INDEX('Monthly Engine'!$C$29:$N$29,MATCH($D46,'Monthly Engine'!$C$4:$N$4,0))</f>
        <v>914.776355773382</v>
      </c>
      <c r="L46" s="12" t="n">
        <f aca="false">INDEX('Monthly Engine'!$C$35:$N$35,MATCH($D46,'Monthly Engine'!$C$4:$N$4,0))*$E46</f>
        <v>396050.96368764</v>
      </c>
      <c r="M46" s="37" t="n">
        <f aca="false">INDEX('Monthly Engine'!$C$39:$N$39,MATCH($D46,'Monthly Engine'!$C$4:$N$4,0))*$E46</f>
        <v>3415.45033849059</v>
      </c>
      <c r="N46" s="37" t="n">
        <f aca="false">INDEX('Monthly Engine'!$C$40:$N$40,MATCH($D46,'Monthly Engine'!$C$4:$N$4,0))/4</f>
        <v>24000</v>
      </c>
      <c r="O46" s="37" t="n">
        <f aca="false">N46-M46</f>
        <v>20584.5496615094</v>
      </c>
      <c r="P46" s="37" t="n">
        <f aca="false">INDEX('Monthly Engine'!$C$50:$N$50,MATCH($D46,'Monthly Engine'!$C$4:$N$4,0))*$E46</f>
        <v>195564.673466078</v>
      </c>
      <c r="Q46" s="37" t="n">
        <f aca="false">INDEX('Monthly Engine'!$C$60:$N$60,MATCH($D46,'Monthly Engine'!$C$4:$N$4,0))*$E46</f>
        <v>82376.487256696</v>
      </c>
      <c r="R46" s="38"/>
    </row>
    <row r="47" customFormat="false" ht="15" hidden="false" customHeight="true" outlineLevel="0" collapsed="false">
      <c r="A47" s="32" t="s">
        <v>322</v>
      </c>
      <c r="B47" s="33" t="n">
        <v>46498</v>
      </c>
      <c r="C47" s="33" t="n">
        <v>46504</v>
      </c>
      <c r="D47" s="32" t="s">
        <v>199</v>
      </c>
      <c r="E47" s="34" t="n">
        <v>0.25</v>
      </c>
      <c r="F47" s="35" t="n">
        <f aca="false">INDEX('Monthly Engine'!$C$13:$N$13,MATCH($D47,'Monthly Engine'!$C$4:$N$4,0))*$E47</f>
        <v>76.1268899598063</v>
      </c>
      <c r="G47" s="35" t="n">
        <f aca="false">INDEX('Monthly Engine'!$C$14:$N$14,MATCH($D47,'Monthly Engine'!$C$4:$N$4,0))*$E47</f>
        <v>25.7747176497466</v>
      </c>
      <c r="H47" s="35" t="n">
        <f aca="false">INDEX('Monthly Engine'!$C$28:$N$28,MATCH($D47,'Monthly Engine'!$C$4:$N$4,0))*$E47</f>
        <v>200.665810314313</v>
      </c>
      <c r="I47" s="35" t="n">
        <f aca="false">(INDEX('Monthly Engine'!$C$31:$N$31,MATCH($D47,'Monthly Engine'!$C$4:$N$4,0))+INDEX('Monthly Engine'!$C$33:$N$33,MATCH($D47,'Monthly Engine'!$C$4:$N$4,0)))*$E47</f>
        <v>416.8125</v>
      </c>
      <c r="J47" s="36" t="n">
        <f aca="false">H47+I47</f>
        <v>617.478310314313</v>
      </c>
      <c r="K47" s="37" t="n">
        <f aca="false">INDEX('Monthly Engine'!$C$29:$N$29,MATCH($D47,'Monthly Engine'!$C$4:$N$4,0))</f>
        <v>914.776355773382</v>
      </c>
      <c r="L47" s="12" t="n">
        <f aca="false">INDEX('Monthly Engine'!$C$35:$N$35,MATCH($D47,'Monthly Engine'!$C$4:$N$4,0))*$E47</f>
        <v>396050.96368764</v>
      </c>
      <c r="M47" s="37" t="n">
        <f aca="false">INDEX('Monthly Engine'!$C$39:$N$39,MATCH($D47,'Monthly Engine'!$C$4:$N$4,0))*$E47</f>
        <v>3415.45033849059</v>
      </c>
      <c r="N47" s="37" t="n">
        <f aca="false">INDEX('Monthly Engine'!$C$40:$N$40,MATCH($D47,'Monthly Engine'!$C$4:$N$4,0))/4</f>
        <v>24000</v>
      </c>
      <c r="O47" s="37" t="n">
        <f aca="false">N47-M47</f>
        <v>20584.5496615094</v>
      </c>
      <c r="P47" s="37" t="n">
        <f aca="false">INDEX('Monthly Engine'!$C$50:$N$50,MATCH($D47,'Monthly Engine'!$C$4:$N$4,0))*$E47</f>
        <v>195564.673466078</v>
      </c>
      <c r="Q47" s="37" t="n">
        <f aca="false">INDEX('Monthly Engine'!$C$60:$N$60,MATCH($D47,'Monthly Engine'!$C$4:$N$4,0))*$E47</f>
        <v>82376.487256696</v>
      </c>
      <c r="R47" s="38"/>
    </row>
    <row r="48" customFormat="false" ht="15" hidden="false" customHeight="true" outlineLevel="0" collapsed="false">
      <c r="A48" s="32" t="s">
        <v>323</v>
      </c>
      <c r="B48" s="33" t="n">
        <v>46505</v>
      </c>
      <c r="C48" s="33" t="n">
        <v>46511</v>
      </c>
      <c r="D48" s="32" t="s">
        <v>200</v>
      </c>
      <c r="E48" s="34" t="n">
        <v>0.2</v>
      </c>
      <c r="F48" s="35" t="n">
        <f aca="false">INDEX('Monthly Engine'!$C$13:$N$13,MATCH($D48,'Monthly Engine'!$C$4:$N$4,0))*$E48</f>
        <v>74.1995203853679</v>
      </c>
      <c r="G48" s="35" t="n">
        <f aca="false">INDEX('Monthly Engine'!$C$14:$N$14,MATCH($D48,'Monthly Engine'!$C$4:$N$4,0))*$E48</f>
        <v>23.1732034635846</v>
      </c>
      <c r="H48" s="35" t="n">
        <f aca="false">INDEX('Monthly Engine'!$C$28:$N$28,MATCH($D48,'Monthly Engine'!$C$4:$N$4,0))*$E48</f>
        <v>194.621935282422</v>
      </c>
      <c r="I48" s="35" t="n">
        <f aca="false">(INDEX('Monthly Engine'!$C$31:$N$31,MATCH($D48,'Monthly Engine'!$C$4:$N$4,0))+INDEX('Monthly Engine'!$C$33:$N$33,MATCH($D48,'Monthly Engine'!$C$4:$N$4,0)))*$E48</f>
        <v>393.141666666667</v>
      </c>
      <c r="J48" s="36" t="n">
        <f aca="false">H48+I48</f>
        <v>587.763601949089</v>
      </c>
      <c r="K48" s="37" t="n">
        <f aca="false">INDEX('Monthly Engine'!$C$29:$N$29,MATCH($D48,'Monthly Engine'!$C$4:$N$4,0))</f>
        <v>924.838895686889</v>
      </c>
      <c r="L48" s="12" t="n">
        <f aca="false">INDEX('Monthly Engine'!$C$35:$N$35,MATCH($D48,'Monthly Engine'!$C$4:$N$4,0))*$E48</f>
        <v>380220.369036374</v>
      </c>
      <c r="M48" s="37" t="n">
        <f aca="false">INDEX('Monthly Engine'!$C$39:$N$39,MATCH($D48,'Monthly Engine'!$C$4:$N$4,0))*$E48</f>
        <v>3283.18581032259</v>
      </c>
      <c r="N48" s="37" t="n">
        <f aca="false">INDEX('Monthly Engine'!$C$40:$N$40,MATCH($D48,'Monthly Engine'!$C$4:$N$4,0))/5</f>
        <v>28800</v>
      </c>
      <c r="O48" s="37" t="n">
        <f aca="false">N48-M48</f>
        <v>25516.8141896774</v>
      </c>
      <c r="P48" s="37" t="n">
        <f aca="false">INDEX('Monthly Engine'!$C$50:$N$50,MATCH($D48,'Monthly Engine'!$C$4:$N$4,0))*$E48</f>
        <v>189577.348498913</v>
      </c>
      <c r="Q48" s="37" t="n">
        <f aca="false">INDEX('Monthly Engine'!$C$60:$N$60,MATCH($D48,'Monthly Engine'!$C$4:$N$4,0))*$E48</f>
        <v>92787.9116966065</v>
      </c>
      <c r="R48" s="38"/>
    </row>
    <row r="49" customFormat="false" ht="15" hidden="false" customHeight="true" outlineLevel="0" collapsed="false">
      <c r="A49" s="32" t="s">
        <v>324</v>
      </c>
      <c r="B49" s="33" t="n">
        <v>46512</v>
      </c>
      <c r="C49" s="33" t="n">
        <v>46518</v>
      </c>
      <c r="D49" s="32" t="s">
        <v>200</v>
      </c>
      <c r="E49" s="34" t="n">
        <v>0.2</v>
      </c>
      <c r="F49" s="35" t="n">
        <f aca="false">INDEX('Monthly Engine'!$C$13:$N$13,MATCH($D49,'Monthly Engine'!$C$4:$N$4,0))*$E49</f>
        <v>74.1995203853679</v>
      </c>
      <c r="G49" s="35" t="n">
        <f aca="false">INDEX('Monthly Engine'!$C$14:$N$14,MATCH($D49,'Monthly Engine'!$C$4:$N$4,0))*$E49</f>
        <v>23.1732034635846</v>
      </c>
      <c r="H49" s="35" t="n">
        <f aca="false">INDEX('Monthly Engine'!$C$28:$N$28,MATCH($D49,'Monthly Engine'!$C$4:$N$4,0))*$E49</f>
        <v>194.621935282422</v>
      </c>
      <c r="I49" s="35" t="n">
        <f aca="false">(INDEX('Monthly Engine'!$C$31:$N$31,MATCH($D49,'Monthly Engine'!$C$4:$N$4,0))+INDEX('Monthly Engine'!$C$33:$N$33,MATCH($D49,'Monthly Engine'!$C$4:$N$4,0)))*$E49</f>
        <v>393.141666666667</v>
      </c>
      <c r="J49" s="36" t="n">
        <f aca="false">H49+I49</f>
        <v>587.763601949089</v>
      </c>
      <c r="K49" s="37" t="n">
        <f aca="false">INDEX('Monthly Engine'!$C$29:$N$29,MATCH($D49,'Monthly Engine'!$C$4:$N$4,0))</f>
        <v>924.838895686889</v>
      </c>
      <c r="L49" s="12" t="n">
        <f aca="false">INDEX('Monthly Engine'!$C$35:$N$35,MATCH($D49,'Monthly Engine'!$C$4:$N$4,0))*$E49</f>
        <v>380220.369036374</v>
      </c>
      <c r="M49" s="37" t="n">
        <f aca="false">INDEX('Monthly Engine'!$C$39:$N$39,MATCH($D49,'Monthly Engine'!$C$4:$N$4,0))*$E49</f>
        <v>3283.18581032259</v>
      </c>
      <c r="N49" s="37" t="n">
        <f aca="false">INDEX('Monthly Engine'!$C$40:$N$40,MATCH($D49,'Monthly Engine'!$C$4:$N$4,0))/5</f>
        <v>28800</v>
      </c>
      <c r="O49" s="37" t="n">
        <f aca="false">N49-M49</f>
        <v>25516.8141896774</v>
      </c>
      <c r="P49" s="37" t="n">
        <f aca="false">INDEX('Monthly Engine'!$C$50:$N$50,MATCH($D49,'Monthly Engine'!$C$4:$N$4,0))*$E49</f>
        <v>189577.348498913</v>
      </c>
      <c r="Q49" s="37" t="n">
        <f aca="false">INDEX('Monthly Engine'!$C$60:$N$60,MATCH($D49,'Monthly Engine'!$C$4:$N$4,0))*$E49</f>
        <v>92787.9116966065</v>
      </c>
      <c r="R49" s="38"/>
    </row>
    <row r="50" customFormat="false" ht="15" hidden="false" customHeight="true" outlineLevel="0" collapsed="false">
      <c r="A50" s="32" t="s">
        <v>325</v>
      </c>
      <c r="B50" s="33" t="n">
        <v>46519</v>
      </c>
      <c r="C50" s="33" t="n">
        <v>46525</v>
      </c>
      <c r="D50" s="32" t="s">
        <v>200</v>
      </c>
      <c r="E50" s="34" t="n">
        <v>0.2</v>
      </c>
      <c r="F50" s="35" t="n">
        <f aca="false">INDEX('Monthly Engine'!$C$13:$N$13,MATCH($D50,'Monthly Engine'!$C$4:$N$4,0))*$E50</f>
        <v>74.1995203853679</v>
      </c>
      <c r="G50" s="35" t="n">
        <f aca="false">INDEX('Monthly Engine'!$C$14:$N$14,MATCH($D50,'Monthly Engine'!$C$4:$N$4,0))*$E50</f>
        <v>23.1732034635846</v>
      </c>
      <c r="H50" s="35" t="n">
        <f aca="false">INDEX('Monthly Engine'!$C$28:$N$28,MATCH($D50,'Monthly Engine'!$C$4:$N$4,0))*$E50</f>
        <v>194.621935282422</v>
      </c>
      <c r="I50" s="35" t="n">
        <f aca="false">(INDEX('Monthly Engine'!$C$31:$N$31,MATCH($D50,'Monthly Engine'!$C$4:$N$4,0))+INDEX('Monthly Engine'!$C$33:$N$33,MATCH($D50,'Monthly Engine'!$C$4:$N$4,0)))*$E50</f>
        <v>393.141666666667</v>
      </c>
      <c r="J50" s="36" t="n">
        <f aca="false">H50+I50</f>
        <v>587.763601949089</v>
      </c>
      <c r="K50" s="37" t="n">
        <f aca="false">INDEX('Monthly Engine'!$C$29:$N$29,MATCH($D50,'Monthly Engine'!$C$4:$N$4,0))</f>
        <v>924.838895686889</v>
      </c>
      <c r="L50" s="12" t="n">
        <f aca="false">INDEX('Monthly Engine'!$C$35:$N$35,MATCH($D50,'Monthly Engine'!$C$4:$N$4,0))*$E50</f>
        <v>380220.369036374</v>
      </c>
      <c r="M50" s="37" t="n">
        <f aca="false">INDEX('Monthly Engine'!$C$39:$N$39,MATCH($D50,'Monthly Engine'!$C$4:$N$4,0))*$E50</f>
        <v>3283.18581032259</v>
      </c>
      <c r="N50" s="37" t="n">
        <f aca="false">INDEX('Monthly Engine'!$C$40:$N$40,MATCH($D50,'Monthly Engine'!$C$4:$N$4,0))/5</f>
        <v>28800</v>
      </c>
      <c r="O50" s="37" t="n">
        <f aca="false">N50-M50</f>
        <v>25516.8141896774</v>
      </c>
      <c r="P50" s="37" t="n">
        <f aca="false">INDEX('Monthly Engine'!$C$50:$N$50,MATCH($D50,'Monthly Engine'!$C$4:$N$4,0))*$E50</f>
        <v>189577.348498913</v>
      </c>
      <c r="Q50" s="37" t="n">
        <f aca="false">INDEX('Monthly Engine'!$C$60:$N$60,MATCH($D50,'Monthly Engine'!$C$4:$N$4,0))*$E50</f>
        <v>92787.9116966065</v>
      </c>
      <c r="R50" s="38"/>
    </row>
    <row r="51" customFormat="false" ht="15" hidden="false" customHeight="true" outlineLevel="0" collapsed="false">
      <c r="A51" s="32" t="s">
        <v>326</v>
      </c>
      <c r="B51" s="33" t="n">
        <v>46526</v>
      </c>
      <c r="C51" s="33" t="n">
        <v>46532</v>
      </c>
      <c r="D51" s="32" t="s">
        <v>200</v>
      </c>
      <c r="E51" s="34" t="n">
        <v>0.2</v>
      </c>
      <c r="F51" s="35" t="n">
        <f aca="false">INDEX('Monthly Engine'!$C$13:$N$13,MATCH($D51,'Monthly Engine'!$C$4:$N$4,0))*$E51</f>
        <v>74.1995203853679</v>
      </c>
      <c r="G51" s="35" t="n">
        <f aca="false">INDEX('Monthly Engine'!$C$14:$N$14,MATCH($D51,'Monthly Engine'!$C$4:$N$4,0))*$E51</f>
        <v>23.1732034635846</v>
      </c>
      <c r="H51" s="35" t="n">
        <f aca="false">INDEX('Monthly Engine'!$C$28:$N$28,MATCH($D51,'Monthly Engine'!$C$4:$N$4,0))*$E51</f>
        <v>194.621935282422</v>
      </c>
      <c r="I51" s="35" t="n">
        <f aca="false">(INDEX('Monthly Engine'!$C$31:$N$31,MATCH($D51,'Monthly Engine'!$C$4:$N$4,0))+INDEX('Monthly Engine'!$C$33:$N$33,MATCH($D51,'Monthly Engine'!$C$4:$N$4,0)))*$E51</f>
        <v>393.141666666667</v>
      </c>
      <c r="J51" s="36" t="n">
        <f aca="false">H51+I51</f>
        <v>587.763601949089</v>
      </c>
      <c r="K51" s="37" t="n">
        <f aca="false">INDEX('Monthly Engine'!$C$29:$N$29,MATCH($D51,'Monthly Engine'!$C$4:$N$4,0))</f>
        <v>924.838895686889</v>
      </c>
      <c r="L51" s="12" t="n">
        <f aca="false">INDEX('Monthly Engine'!$C$35:$N$35,MATCH($D51,'Monthly Engine'!$C$4:$N$4,0))*$E51</f>
        <v>380220.369036374</v>
      </c>
      <c r="M51" s="37" t="n">
        <f aca="false">INDEX('Monthly Engine'!$C$39:$N$39,MATCH($D51,'Monthly Engine'!$C$4:$N$4,0))*$E51</f>
        <v>3283.18581032259</v>
      </c>
      <c r="N51" s="37" t="n">
        <f aca="false">INDEX('Monthly Engine'!$C$40:$N$40,MATCH($D51,'Monthly Engine'!$C$4:$N$4,0))/5</f>
        <v>28800</v>
      </c>
      <c r="O51" s="37" t="n">
        <f aca="false">N51-M51</f>
        <v>25516.8141896774</v>
      </c>
      <c r="P51" s="37" t="n">
        <f aca="false">INDEX('Monthly Engine'!$C$50:$N$50,MATCH($D51,'Monthly Engine'!$C$4:$N$4,0))*$E51</f>
        <v>189577.348498913</v>
      </c>
      <c r="Q51" s="37" t="n">
        <f aca="false">INDEX('Monthly Engine'!$C$60:$N$60,MATCH($D51,'Monthly Engine'!$C$4:$N$4,0))*$E51</f>
        <v>92787.9116966065</v>
      </c>
      <c r="R51" s="38"/>
    </row>
    <row r="52" customFormat="false" ht="15" hidden="false" customHeight="true" outlineLevel="0" collapsed="false">
      <c r="A52" s="32" t="s">
        <v>327</v>
      </c>
      <c r="B52" s="33" t="n">
        <v>46533</v>
      </c>
      <c r="C52" s="33" t="n">
        <v>46539</v>
      </c>
      <c r="D52" s="32" t="s">
        <v>200</v>
      </c>
      <c r="E52" s="34" t="n">
        <v>0.2</v>
      </c>
      <c r="F52" s="35" t="n">
        <f aca="false">INDEX('Monthly Engine'!$C$13:$N$13,MATCH($D52,'Monthly Engine'!$C$4:$N$4,0))*$E52</f>
        <v>74.1995203853679</v>
      </c>
      <c r="G52" s="35" t="n">
        <f aca="false">INDEX('Monthly Engine'!$C$14:$N$14,MATCH($D52,'Monthly Engine'!$C$4:$N$4,0))*$E52</f>
        <v>23.1732034635846</v>
      </c>
      <c r="H52" s="35" t="n">
        <f aca="false">INDEX('Monthly Engine'!$C$28:$N$28,MATCH($D52,'Monthly Engine'!$C$4:$N$4,0))*$E52</f>
        <v>194.621935282422</v>
      </c>
      <c r="I52" s="35" t="n">
        <f aca="false">(INDEX('Monthly Engine'!$C$31:$N$31,MATCH($D52,'Monthly Engine'!$C$4:$N$4,0))+INDEX('Monthly Engine'!$C$33:$N$33,MATCH($D52,'Monthly Engine'!$C$4:$N$4,0)))*$E52</f>
        <v>393.141666666667</v>
      </c>
      <c r="J52" s="36" t="n">
        <f aca="false">H52+I52</f>
        <v>587.763601949089</v>
      </c>
      <c r="K52" s="37" t="n">
        <f aca="false">INDEX('Monthly Engine'!$C$29:$N$29,MATCH($D52,'Monthly Engine'!$C$4:$N$4,0))</f>
        <v>924.838895686889</v>
      </c>
      <c r="L52" s="12" t="n">
        <f aca="false">INDEX('Monthly Engine'!$C$35:$N$35,MATCH($D52,'Monthly Engine'!$C$4:$N$4,0))*$E52</f>
        <v>380220.369036374</v>
      </c>
      <c r="M52" s="37" t="n">
        <f aca="false">INDEX('Monthly Engine'!$C$39:$N$39,MATCH($D52,'Monthly Engine'!$C$4:$N$4,0))*$E52</f>
        <v>3283.18581032259</v>
      </c>
      <c r="N52" s="37" t="n">
        <f aca="false">INDEX('Monthly Engine'!$C$40:$N$40,MATCH($D52,'Monthly Engine'!$C$4:$N$4,0))/5</f>
        <v>28800</v>
      </c>
      <c r="O52" s="37" t="n">
        <f aca="false">N52-M52</f>
        <v>25516.8141896774</v>
      </c>
      <c r="P52" s="37" t="n">
        <f aca="false">INDEX('Monthly Engine'!$C$50:$N$50,MATCH($D52,'Monthly Engine'!$C$4:$N$4,0))*$E52</f>
        <v>189577.348498913</v>
      </c>
      <c r="Q52" s="37" t="n">
        <f aca="false">INDEX('Monthly Engine'!$C$60:$N$60,MATCH($D52,'Monthly Engine'!$C$4:$N$4,0))*$E52</f>
        <v>92787.9116966065</v>
      </c>
      <c r="R52" s="38"/>
    </row>
    <row r="53" customFormat="false" ht="15" hidden="false" customHeight="true" outlineLevel="0" collapsed="false">
      <c r="A53" s="32" t="s">
        <v>328</v>
      </c>
      <c r="B53" s="33" t="n">
        <v>46540</v>
      </c>
      <c r="C53" s="33" t="n">
        <v>46546</v>
      </c>
      <c r="D53" s="32" t="s">
        <v>201</v>
      </c>
      <c r="E53" s="34" t="n">
        <v>0.25</v>
      </c>
      <c r="F53" s="35" t="n">
        <f aca="false">INDEX('Monthly Engine'!$C$13:$N$13,MATCH($D53,'Monthly Engine'!$C$4:$N$4,0))*$E53</f>
        <v>104.020114383983</v>
      </c>
      <c r="G53" s="35" t="n">
        <f aca="false">INDEX('Monthly Engine'!$C$14:$N$14,MATCH($D53,'Monthly Engine'!$C$4:$N$4,0))*$E53</f>
        <v>32.1922579975275</v>
      </c>
      <c r="H53" s="35" t="n">
        <f aca="false">INDEX('Monthly Engine'!$C$28:$N$28,MATCH($D53,'Monthly Engine'!$C$4:$N$4,0))*$E53</f>
        <v>285.245079595928</v>
      </c>
      <c r="I53" s="35" t="n">
        <f aca="false">(INDEX('Monthly Engine'!$C$31:$N$31,MATCH($D53,'Monthly Engine'!$C$4:$N$4,0))+INDEX('Monthly Engine'!$C$33:$N$33,MATCH($D53,'Monthly Engine'!$C$4:$N$4,0)))*$E53</f>
        <v>527.5</v>
      </c>
      <c r="J53" s="36" t="n">
        <f aca="false">H53+I53</f>
        <v>812.745079595928</v>
      </c>
      <c r="K53" s="37" t="n">
        <f aca="false">INDEX('Monthly Engine'!$C$29:$N$29,MATCH($D53,'Monthly Engine'!$C$4:$N$4,0))</f>
        <v>935.012123539445</v>
      </c>
      <c r="L53" s="12" t="n">
        <f aca="false">INDEX('Monthly Engine'!$C$35:$N$35,MATCH($D53,'Monthly Engine'!$C$4:$N$4,0))*$E53</f>
        <v>535152.607602166</v>
      </c>
      <c r="M53" s="37" t="n">
        <f aca="false">INDEX('Monthly Engine'!$C$39:$N$39,MATCH($D53,'Monthly Engine'!$C$4:$N$4,0))*$E53</f>
        <v>4619.11260492905</v>
      </c>
      <c r="N53" s="37" t="n">
        <f aca="false">INDEX('Monthly Engine'!$C$40:$N$40,MATCH($D53,'Monthly Engine'!$C$4:$N$4,0))/4</f>
        <v>36000</v>
      </c>
      <c r="O53" s="37" t="n">
        <f aca="false">N53-M53</f>
        <v>31380.887395071</v>
      </c>
      <c r="P53" s="37" t="n">
        <f aca="false">INDEX('Monthly Engine'!$C$50:$N$50,MATCH($D53,'Monthly Engine'!$C$4:$N$4,0))*$E53</f>
        <v>269866.460210864</v>
      </c>
      <c r="Q53" s="37" t="n">
        <f aca="false">INDEX('Monthly Engine'!$C$60:$N$60,MATCH($D53,'Monthly Engine'!$C$4:$N$4,0))*$E53</f>
        <v>140564.276847519</v>
      </c>
      <c r="R53" s="38"/>
    </row>
    <row r="54" customFormat="false" ht="15" hidden="false" customHeight="true" outlineLevel="0" collapsed="false">
      <c r="A54" s="32" t="s">
        <v>329</v>
      </c>
      <c r="B54" s="33" t="n">
        <v>46547</v>
      </c>
      <c r="C54" s="33" t="n">
        <v>46553</v>
      </c>
      <c r="D54" s="32" t="s">
        <v>201</v>
      </c>
      <c r="E54" s="34" t="n">
        <v>0.25</v>
      </c>
      <c r="F54" s="35" t="n">
        <f aca="false">INDEX('Monthly Engine'!$C$13:$N$13,MATCH($D54,'Monthly Engine'!$C$4:$N$4,0))*$E54</f>
        <v>104.020114383983</v>
      </c>
      <c r="G54" s="35" t="n">
        <f aca="false">INDEX('Monthly Engine'!$C$14:$N$14,MATCH($D54,'Monthly Engine'!$C$4:$N$4,0))*$E54</f>
        <v>32.1922579975275</v>
      </c>
      <c r="H54" s="35" t="n">
        <f aca="false">INDEX('Monthly Engine'!$C$28:$N$28,MATCH($D54,'Monthly Engine'!$C$4:$N$4,0))*$E54</f>
        <v>285.245079595928</v>
      </c>
      <c r="I54" s="35" t="n">
        <f aca="false">(INDEX('Monthly Engine'!$C$31:$N$31,MATCH($D54,'Monthly Engine'!$C$4:$N$4,0))+INDEX('Monthly Engine'!$C$33:$N$33,MATCH($D54,'Monthly Engine'!$C$4:$N$4,0)))*$E54</f>
        <v>527.5</v>
      </c>
      <c r="J54" s="36" t="n">
        <f aca="false">H54+I54</f>
        <v>812.745079595928</v>
      </c>
      <c r="K54" s="37" t="n">
        <f aca="false">INDEX('Monthly Engine'!$C$29:$N$29,MATCH($D54,'Monthly Engine'!$C$4:$N$4,0))</f>
        <v>935.012123539445</v>
      </c>
      <c r="L54" s="12" t="n">
        <f aca="false">INDEX('Monthly Engine'!$C$35:$N$35,MATCH($D54,'Monthly Engine'!$C$4:$N$4,0))*$E54</f>
        <v>535152.607602166</v>
      </c>
      <c r="M54" s="37" t="n">
        <f aca="false">INDEX('Monthly Engine'!$C$39:$N$39,MATCH($D54,'Monthly Engine'!$C$4:$N$4,0))*$E54</f>
        <v>4619.11260492905</v>
      </c>
      <c r="N54" s="37" t="n">
        <f aca="false">INDEX('Monthly Engine'!$C$40:$N$40,MATCH($D54,'Monthly Engine'!$C$4:$N$4,0))/4</f>
        <v>36000</v>
      </c>
      <c r="O54" s="37" t="n">
        <f aca="false">N54-M54</f>
        <v>31380.887395071</v>
      </c>
      <c r="P54" s="37" t="n">
        <f aca="false">INDEX('Monthly Engine'!$C$50:$N$50,MATCH($D54,'Monthly Engine'!$C$4:$N$4,0))*$E54</f>
        <v>269866.460210864</v>
      </c>
      <c r="Q54" s="37" t="n">
        <f aca="false">INDEX('Monthly Engine'!$C$60:$N$60,MATCH($D54,'Monthly Engine'!$C$4:$N$4,0))*$E54</f>
        <v>140564.276847519</v>
      </c>
      <c r="R54" s="38"/>
    </row>
    <row r="55" customFormat="false" ht="15" hidden="false" customHeight="true" outlineLevel="0" collapsed="false">
      <c r="A55" s="32" t="s">
        <v>330</v>
      </c>
      <c r="B55" s="33" t="n">
        <v>46554</v>
      </c>
      <c r="C55" s="33" t="n">
        <v>46560</v>
      </c>
      <c r="D55" s="32" t="s">
        <v>201</v>
      </c>
      <c r="E55" s="34" t="n">
        <v>0.25</v>
      </c>
      <c r="F55" s="35" t="n">
        <f aca="false">INDEX('Monthly Engine'!$C$13:$N$13,MATCH($D55,'Monthly Engine'!$C$4:$N$4,0))*$E55</f>
        <v>104.020114383983</v>
      </c>
      <c r="G55" s="35" t="n">
        <f aca="false">INDEX('Monthly Engine'!$C$14:$N$14,MATCH($D55,'Monthly Engine'!$C$4:$N$4,0))*$E55</f>
        <v>32.1922579975275</v>
      </c>
      <c r="H55" s="35" t="n">
        <f aca="false">INDEX('Monthly Engine'!$C$28:$N$28,MATCH($D55,'Monthly Engine'!$C$4:$N$4,0))*$E55</f>
        <v>285.245079595928</v>
      </c>
      <c r="I55" s="35" t="n">
        <f aca="false">(INDEX('Monthly Engine'!$C$31:$N$31,MATCH($D55,'Monthly Engine'!$C$4:$N$4,0))+INDEX('Monthly Engine'!$C$33:$N$33,MATCH($D55,'Monthly Engine'!$C$4:$N$4,0)))*$E55</f>
        <v>527.5</v>
      </c>
      <c r="J55" s="36" t="n">
        <f aca="false">H55+I55</f>
        <v>812.745079595928</v>
      </c>
      <c r="K55" s="37" t="n">
        <f aca="false">INDEX('Monthly Engine'!$C$29:$N$29,MATCH($D55,'Monthly Engine'!$C$4:$N$4,0))</f>
        <v>935.012123539445</v>
      </c>
      <c r="L55" s="12" t="n">
        <f aca="false">INDEX('Monthly Engine'!$C$35:$N$35,MATCH($D55,'Monthly Engine'!$C$4:$N$4,0))*$E55</f>
        <v>535152.607602166</v>
      </c>
      <c r="M55" s="37" t="n">
        <f aca="false">INDEX('Monthly Engine'!$C$39:$N$39,MATCH($D55,'Monthly Engine'!$C$4:$N$4,0))*$E55</f>
        <v>4619.11260492905</v>
      </c>
      <c r="N55" s="37" t="n">
        <f aca="false">INDEX('Monthly Engine'!$C$40:$N$40,MATCH($D55,'Monthly Engine'!$C$4:$N$4,0))/4</f>
        <v>36000</v>
      </c>
      <c r="O55" s="37" t="n">
        <f aca="false">N55-M55</f>
        <v>31380.887395071</v>
      </c>
      <c r="P55" s="37" t="n">
        <f aca="false">INDEX('Monthly Engine'!$C$50:$N$50,MATCH($D55,'Monthly Engine'!$C$4:$N$4,0))*$E55</f>
        <v>269866.460210864</v>
      </c>
      <c r="Q55" s="37" t="n">
        <f aca="false">INDEX('Monthly Engine'!$C$60:$N$60,MATCH($D55,'Monthly Engine'!$C$4:$N$4,0))*$E55</f>
        <v>140564.276847519</v>
      </c>
      <c r="R55" s="38"/>
    </row>
    <row r="56" customFormat="false" ht="15" hidden="false" customHeight="true" outlineLevel="0" collapsed="false">
      <c r="A56" s="32" t="s">
        <v>331</v>
      </c>
      <c r="B56" s="33" t="n">
        <v>46561</v>
      </c>
      <c r="C56" s="33" t="n">
        <v>46567</v>
      </c>
      <c r="D56" s="32" t="s">
        <v>201</v>
      </c>
      <c r="E56" s="34" t="n">
        <v>0.25</v>
      </c>
      <c r="F56" s="35" t="n">
        <f aca="false">INDEX('Monthly Engine'!$C$13:$N$13,MATCH($D56,'Monthly Engine'!$C$4:$N$4,0))*$E56</f>
        <v>104.020114383983</v>
      </c>
      <c r="G56" s="35" t="n">
        <f aca="false">INDEX('Monthly Engine'!$C$14:$N$14,MATCH($D56,'Monthly Engine'!$C$4:$N$4,0))*$E56</f>
        <v>32.1922579975275</v>
      </c>
      <c r="H56" s="35" t="n">
        <f aca="false">INDEX('Monthly Engine'!$C$28:$N$28,MATCH($D56,'Monthly Engine'!$C$4:$N$4,0))*$E56</f>
        <v>285.245079595928</v>
      </c>
      <c r="I56" s="35" t="n">
        <f aca="false">(INDEX('Monthly Engine'!$C$31:$N$31,MATCH($D56,'Monthly Engine'!$C$4:$N$4,0))+INDEX('Monthly Engine'!$C$33:$N$33,MATCH($D56,'Monthly Engine'!$C$4:$N$4,0)))*$E56</f>
        <v>527.5</v>
      </c>
      <c r="J56" s="36" t="n">
        <f aca="false">H56+I56</f>
        <v>812.745079595928</v>
      </c>
      <c r="K56" s="37" t="n">
        <f aca="false">INDEX('Monthly Engine'!$C$29:$N$29,MATCH($D56,'Monthly Engine'!$C$4:$N$4,0))</f>
        <v>935.012123539445</v>
      </c>
      <c r="L56" s="12" t="n">
        <f aca="false">INDEX('Monthly Engine'!$C$35:$N$35,MATCH($D56,'Monthly Engine'!$C$4:$N$4,0))*$E56</f>
        <v>535152.607602166</v>
      </c>
      <c r="M56" s="37" t="n">
        <f aca="false">INDEX('Monthly Engine'!$C$39:$N$39,MATCH($D56,'Monthly Engine'!$C$4:$N$4,0))*$E56</f>
        <v>4619.11260492905</v>
      </c>
      <c r="N56" s="37" t="n">
        <f aca="false">INDEX('Monthly Engine'!$C$40:$N$40,MATCH($D56,'Monthly Engine'!$C$4:$N$4,0))/4</f>
        <v>36000</v>
      </c>
      <c r="O56" s="37" t="n">
        <f aca="false">N56-M56</f>
        <v>31380.887395071</v>
      </c>
      <c r="P56" s="37" t="n">
        <f aca="false">INDEX('Monthly Engine'!$C$50:$N$50,MATCH($D56,'Monthly Engine'!$C$4:$N$4,0))*$E56</f>
        <v>269866.460210864</v>
      </c>
      <c r="Q56" s="37" t="n">
        <f aca="false">INDEX('Monthly Engine'!$C$60:$N$60,MATCH($D56,'Monthly Engine'!$C$4:$N$4,0))*$E56</f>
        <v>140564.276847519</v>
      </c>
      <c r="R56" s="38"/>
    </row>
    <row r="57" customFormat="false" ht="15" hidden="false" customHeight="true" outlineLevel="0" collapsed="false">
      <c r="D57" s="3" t="s">
        <v>332</v>
      </c>
      <c r="J57" s="28" t="n">
        <f aca="false">SUM(J5:J56)</f>
        <v>17865.7536448899</v>
      </c>
      <c r="L57" s="28" t="n">
        <f aca="false">SUM(L5:L56)</f>
        <v>11848558.7432409</v>
      </c>
      <c r="P57" s="28" t="n">
        <f aca="false">SUM(P5:P56)</f>
        <v>5845587.46140007</v>
      </c>
      <c r="Q57" s="28" t="n">
        <f aca="false">SUM(Q5:Q56)</f>
        <v>1236257.74066891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B1:N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14" min="3" style="1" width="12"/>
  </cols>
  <sheetData>
    <row r="1" customFormat="false" ht="15.75" hidden="false" customHeight="true" outlineLevel="0" collapsed="false">
      <c r="B1" s="18" t="s">
        <v>333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3" customFormat="false" ht="15" hidden="false" customHeight="true" outlineLevel="0" collapsed="false">
      <c r="B3" s="32" t="s">
        <v>189</v>
      </c>
      <c r="C3" s="47" t="s">
        <v>190</v>
      </c>
      <c r="D3" s="47" t="s">
        <v>191</v>
      </c>
      <c r="E3" s="47" t="s">
        <v>192</v>
      </c>
      <c r="F3" s="47" t="s">
        <v>193</v>
      </c>
      <c r="G3" s="47" t="s">
        <v>194</v>
      </c>
      <c r="H3" s="47" t="s">
        <v>195</v>
      </c>
      <c r="I3" s="47" t="s">
        <v>196</v>
      </c>
      <c r="J3" s="47" t="s">
        <v>197</v>
      </c>
      <c r="K3" s="47" t="s">
        <v>198</v>
      </c>
      <c r="L3" s="47" t="s">
        <v>199</v>
      </c>
      <c r="M3" s="47" t="s">
        <v>200</v>
      </c>
      <c r="N3" s="47" t="s">
        <v>201</v>
      </c>
    </row>
    <row r="4" customFormat="false" ht="15" hidden="false" customHeight="true" outlineLevel="0" collapsed="false">
      <c r="B4" s="32" t="s">
        <v>334</v>
      </c>
      <c r="C4" s="48" t="n">
        <f aca="false">'Monthly Engine'!C35</f>
        <v>215641.049103335</v>
      </c>
      <c r="D4" s="48" t="n">
        <f aca="false">'Monthly Engine'!D35</f>
        <v>300654.357329784</v>
      </c>
      <c r="E4" s="48" t="n">
        <f aca="false">'Monthly Engine'!E35</f>
        <v>442991.860683354</v>
      </c>
      <c r="F4" s="48" t="n">
        <f aca="false">'Monthly Engine'!F35</f>
        <v>609814.022913198</v>
      </c>
      <c r="G4" s="48" t="n">
        <f aca="false">'Monthly Engine'!G35</f>
        <v>729803.935904838</v>
      </c>
      <c r="H4" s="48" t="n">
        <f aca="false">'Monthly Engine'!H35</f>
        <v>768754.255765956</v>
      </c>
      <c r="I4" s="48" t="n">
        <f aca="false">'Monthly Engine'!I35</f>
        <v>904329.826859521</v>
      </c>
      <c r="J4" s="48" t="n">
        <f aca="false">'Monthly Engine'!J35</f>
        <v>1013440.06291942</v>
      </c>
      <c r="K4" s="48" t="n">
        <f aca="false">'Monthly Engine'!K35</f>
        <v>1237286.22181394</v>
      </c>
      <c r="L4" s="48" t="n">
        <f aca="false">'Monthly Engine'!L35</f>
        <v>1584203.85475056</v>
      </c>
      <c r="M4" s="48" t="n">
        <f aca="false">'Monthly Engine'!M35</f>
        <v>1901101.84518187</v>
      </c>
      <c r="N4" s="48" t="n">
        <f aca="false">'Monthly Engine'!N35</f>
        <v>2140610.43040867</v>
      </c>
    </row>
    <row r="5" customFormat="false" ht="15" hidden="false" customHeight="true" outlineLevel="0" collapsed="false">
      <c r="B5" s="47" t="s">
        <v>335</v>
      </c>
      <c r="C5" s="49" t="n">
        <f aca="false">(C4-251242)/251242</f>
        <v>-0.141699838787564</v>
      </c>
      <c r="D5" s="49" t="n">
        <f aca="false">(D4-C4)/C4</f>
        <v>0.394235274684232</v>
      </c>
      <c r="E5" s="49" t="n">
        <f aca="false">(E4-D4)/D4</f>
        <v>0.473425712561489</v>
      </c>
      <c r="F5" s="49" t="n">
        <f aca="false">(F4-E4)/E4</f>
        <v>0.376580648620736</v>
      </c>
      <c r="G5" s="49" t="n">
        <f aca="false">(G4-F4)/F4</f>
        <v>0.196764765130236</v>
      </c>
      <c r="H5" s="49" t="n">
        <f aca="false">(H4-G4)/G4</f>
        <v>0.0533709369665516</v>
      </c>
      <c r="I5" s="49" t="n">
        <f aca="false">(I4-H4)/H4</f>
        <v>0.176357490155918</v>
      </c>
      <c r="J5" s="49" t="n">
        <f aca="false">(J4-I4)/I4</f>
        <v>0.120653143155532</v>
      </c>
      <c r="K5" s="49" t="n">
        <f aca="false">(K4-J4)/J4</f>
        <v>0.220877550715419</v>
      </c>
      <c r="L5" s="49" t="n">
        <f aca="false">(L4-K4)/K4</f>
        <v>0.280385917842044</v>
      </c>
      <c r="M5" s="49" t="n">
        <f aca="false">(M4-L4)/L4</f>
        <v>0.200036118761501</v>
      </c>
      <c r="N5" s="49" t="n">
        <f aca="false">(N4-M4)/M4</f>
        <v>0.125984089612981</v>
      </c>
    </row>
    <row r="6" customFormat="false" ht="15" hidden="false" customHeight="true" outlineLevel="0" collapsed="false">
      <c r="B6" s="47" t="s">
        <v>336</v>
      </c>
      <c r="C6" s="50" t="n">
        <f aca="false">C4/251242</f>
        <v>0.858300161212436</v>
      </c>
      <c r="D6" s="50" t="n">
        <f aca="false">D4/251242</f>
        <v>1.19667236102954</v>
      </c>
      <c r="E6" s="50" t="n">
        <f aca="false">E4/251242</f>
        <v>1.76320782625259</v>
      </c>
      <c r="F6" s="50" t="n">
        <f aca="false">F4/251242</f>
        <v>2.42719777311595</v>
      </c>
      <c r="G6" s="50" t="n">
        <f aca="false">G4/251242</f>
        <v>2.90478477286774</v>
      </c>
      <c r="H6" s="50" t="n">
        <f aca="false">H4/251242</f>
        <v>3.05981585788187</v>
      </c>
      <c r="I6" s="50" t="n">
        <f aca="false">I4/251242</f>
        <v>3.59943730291719</v>
      </c>
      <c r="J6" s="50" t="n">
        <f aca="false">J4/251242</f>
        <v>4.03372072710542</v>
      </c>
      <c r="K6" s="50" t="n">
        <f aca="false">K4/251242</f>
        <v>4.92467908157849</v>
      </c>
      <c r="L6" s="50" t="n">
        <f aca="false">L4/251242</f>
        <v>6.30548974594439</v>
      </c>
      <c r="M6" s="50" t="n">
        <f aca="false">M4/251242</f>
        <v>7.56681544161354</v>
      </c>
      <c r="N6" s="50" t="n">
        <f aca="false">N4/251242</f>
        <v>8.52011379629467</v>
      </c>
    </row>
    <row r="7" customFormat="false" ht="15" hidden="false" customHeight="true" outlineLevel="0" collapsed="false">
      <c r="B7" s="47" t="s">
        <v>337</v>
      </c>
      <c r="C7" s="49" t="n">
        <f aca="false">C4/10000000</f>
        <v>0.0215641049103335</v>
      </c>
      <c r="D7" s="49" t="n">
        <f aca="false">D4/10000000</f>
        <v>0.0300654357329784</v>
      </c>
      <c r="E7" s="49" t="n">
        <f aca="false">E4/10000000</f>
        <v>0.0442991860683354</v>
      </c>
      <c r="F7" s="49" t="n">
        <f aca="false">F4/10000000</f>
        <v>0.0609814022913198</v>
      </c>
      <c r="G7" s="49" t="n">
        <f aca="false">G4/10000000</f>
        <v>0.0729803935904838</v>
      </c>
      <c r="H7" s="49" t="n">
        <f aca="false">H4/10000000</f>
        <v>0.0768754255765956</v>
      </c>
      <c r="I7" s="49" t="n">
        <f aca="false">I4/10000000</f>
        <v>0.0904329826859521</v>
      </c>
      <c r="J7" s="49" t="n">
        <f aca="false">J4/10000000</f>
        <v>0.101344006291942</v>
      </c>
      <c r="K7" s="49" t="n">
        <f aca="false">K4/10000000</f>
        <v>0.123728622181394</v>
      </c>
      <c r="L7" s="49" t="n">
        <f aca="false">L4/10000000</f>
        <v>0.158420385475056</v>
      </c>
      <c r="M7" s="49" t="n">
        <f aca="false">M4/10000000</f>
        <v>0.190110184518187</v>
      </c>
      <c r="N7" s="49" t="n">
        <f aca="false">N4/10000000</f>
        <v>0.214061043040867</v>
      </c>
    </row>
    <row r="9" customFormat="false" ht="15" hidden="false" customHeight="true" outlineLevel="0" collapsed="false">
      <c r="B9" s="32" t="s">
        <v>338</v>
      </c>
      <c r="C9" s="48" t="n">
        <f aca="false">'Monthly Engine'!C28</f>
        <v>260.121892766387</v>
      </c>
      <c r="D9" s="48" t="n">
        <f aca="false">'Monthly Engine'!D28</f>
        <v>302.462049736514</v>
      </c>
      <c r="E9" s="48" t="n">
        <f aca="false">'Monthly Engine'!E28</f>
        <v>372.256107546477</v>
      </c>
      <c r="F9" s="48" t="n">
        <f aca="false">'Monthly Engine'!F28</f>
        <v>439.2526776236</v>
      </c>
      <c r="G9" s="48" t="n">
        <f aca="false">'Monthly Engine'!G28</f>
        <v>482.817794209532</v>
      </c>
      <c r="H9" s="48" t="n">
        <f aca="false">'Monthly Engine'!H28</f>
        <v>492.970318935986</v>
      </c>
      <c r="I9" s="48" t="n">
        <f aca="false">'Monthly Engine'!I28</f>
        <v>539.762492334842</v>
      </c>
      <c r="J9" s="48" t="n">
        <f aca="false">'Monthly Engine'!J28</f>
        <v>580.501422392538</v>
      </c>
      <c r="K9" s="48" t="n">
        <f aca="false">'Monthly Engine'!K28</f>
        <v>668.255951737054</v>
      </c>
      <c r="L9" s="48" t="n">
        <f aca="false">'Monthly Engine'!L28</f>
        <v>802.663241257251</v>
      </c>
      <c r="M9" s="48" t="n">
        <f aca="false">'Monthly Engine'!M28</f>
        <v>973.109676412111</v>
      </c>
      <c r="N9" s="48" t="n">
        <f aca="false">'Monthly Engine'!N28</f>
        <v>1140.98031838371</v>
      </c>
    </row>
    <row r="10" customFormat="false" ht="15" hidden="false" customHeight="true" outlineLevel="0" collapsed="false">
      <c r="B10" s="32" t="s">
        <v>339</v>
      </c>
      <c r="C10" s="48" t="n">
        <f aca="false">'Monthly Engine'!C25</f>
        <v>55.9733672926375</v>
      </c>
      <c r="D10" s="48" t="n">
        <f aca="false">'Monthly Engine'!D25</f>
        <v>65.7696129293804</v>
      </c>
      <c r="E10" s="48" t="n">
        <f aca="false">'Monthly Engine'!E25</f>
        <v>78.715265619369</v>
      </c>
      <c r="F10" s="48" t="n">
        <f aca="false">'Monthly Engine'!F25</f>
        <v>97.5819681400282</v>
      </c>
      <c r="G10" s="48" t="n">
        <f aca="false">'Monthly Engine'!G25</f>
        <v>117.553813573488</v>
      </c>
      <c r="H10" s="48" t="n">
        <f aca="false">'Monthly Engine'!H25</f>
        <v>134.110611911707</v>
      </c>
      <c r="I10" s="48" t="n">
        <f aca="false">'Monthly Engine'!I25</f>
        <v>154.980058178007</v>
      </c>
      <c r="J10" s="48" t="n">
        <f aca="false">'Monthly Engine'!J25</f>
        <v>177.886342301756</v>
      </c>
      <c r="K10" s="48" t="n">
        <f aca="false">'Monthly Engine'!K25</f>
        <v>209.050393139688</v>
      </c>
      <c r="L10" s="48" t="n">
        <f aca="false">'Monthly Engine'!L25</f>
        <v>253.94931880497</v>
      </c>
      <c r="M10" s="48" t="n">
        <f aca="false">'Monthly Engine'!M25</f>
        <v>313.367674309381</v>
      </c>
      <c r="N10" s="48" t="n">
        <f aca="false">'Monthly Engine'!N25</f>
        <v>381.458016933755</v>
      </c>
    </row>
    <row r="11" customFormat="false" ht="15" hidden="false" customHeight="true" outlineLevel="0" collapsed="false">
      <c r="B11" s="47" t="s">
        <v>340</v>
      </c>
      <c r="C11" s="37" t="n">
        <f aca="false">'Monthly Engine'!C31+'Monthly Engine'!C33</f>
        <v>0</v>
      </c>
      <c r="D11" s="37" t="n">
        <f aca="false">'Monthly Engine'!D31+'Monthly Engine'!D33</f>
        <v>81.5833333333333</v>
      </c>
      <c r="E11" s="37" t="n">
        <f aca="false">'Monthly Engine'!E31+'Monthly Engine'!E33</f>
        <v>240.25</v>
      </c>
      <c r="F11" s="37" t="n">
        <f aca="false">'Monthly Engine'!F31+'Monthly Engine'!F33</f>
        <v>448.375</v>
      </c>
      <c r="G11" s="37" t="n">
        <f aca="false">'Monthly Engine'!G31+'Monthly Engine'!G33</f>
        <v>603.5</v>
      </c>
      <c r="H11" s="37" t="n">
        <f aca="false">'Monthly Engine'!H31+'Monthly Engine'!H33</f>
        <v>655.958333333333</v>
      </c>
      <c r="I11" s="37" t="n">
        <f aca="false">'Monthly Engine'!I31+'Monthly Engine'!I33</f>
        <v>832.5</v>
      </c>
      <c r="J11" s="37" t="n">
        <f aca="false">'Monthly Engine'!J31+'Monthly Engine'!J33</f>
        <v>966.125</v>
      </c>
      <c r="K11" s="37" t="n">
        <f aca="false">'Monthly Engine'!K31+'Monthly Engine'!K33</f>
        <v>1239.45833333333</v>
      </c>
      <c r="L11" s="37" t="n">
        <f aca="false">'Monthly Engine'!L31+'Monthly Engine'!L33</f>
        <v>1667.25</v>
      </c>
      <c r="M11" s="37" t="n">
        <f aca="false">'Monthly Engine'!M31+'Monthly Engine'!M33</f>
        <v>1965.70833333333</v>
      </c>
      <c r="N11" s="37" t="n">
        <f aca="false">'Monthly Engine'!N31+'Monthly Engine'!N33</f>
        <v>2110</v>
      </c>
    </row>
    <row r="13" customFormat="false" ht="15" hidden="false" customHeight="true" outlineLevel="0" collapsed="false">
      <c r="B13" s="32" t="s">
        <v>232</v>
      </c>
      <c r="C13" s="48" t="n">
        <f aca="false">'Monthly Engine'!C39</f>
        <v>1612.7557351516</v>
      </c>
      <c r="D13" s="48" t="n">
        <f aca="false">'Monthly Engine'!D39</f>
        <v>2362.46821166619</v>
      </c>
      <c r="E13" s="48" t="n">
        <f aca="false">'Monthly Engine'!E39</f>
        <v>3584.6189668909</v>
      </c>
      <c r="F13" s="48" t="n">
        <f aca="false">'Monthly Engine'!F39</f>
        <v>5040.64375999533</v>
      </c>
      <c r="G13" s="48" t="n">
        <f aca="false">'Monthly Engine'!G39</f>
        <v>6099.5184738785</v>
      </c>
      <c r="H13" s="48" t="n">
        <f aca="false">'Monthly Engine'!H39</f>
        <v>6458.8951955139</v>
      </c>
      <c r="I13" s="48" t="n">
        <f aca="false">'Monthly Engine'!I39</f>
        <v>7662.4597193499</v>
      </c>
      <c r="J13" s="48" t="n">
        <f aca="false">'Monthly Engine'!J39</f>
        <v>8633.47031332891</v>
      </c>
      <c r="K13" s="48" t="n">
        <f aca="false">'Monthly Engine'!K39</f>
        <v>10606.3637940535</v>
      </c>
      <c r="L13" s="48" t="n">
        <f aca="false">'Monthly Engine'!L39</f>
        <v>13661.8013539624</v>
      </c>
      <c r="M13" s="48" t="n">
        <f aca="false">'Monthly Engine'!M39</f>
        <v>16415.9290516129</v>
      </c>
      <c r="N13" s="48" t="n">
        <f aca="false">'Monthly Engine'!N39</f>
        <v>18476.4504197162</v>
      </c>
    </row>
    <row r="14" customFormat="false" ht="15" hidden="false" customHeight="true" outlineLevel="0" collapsed="false">
      <c r="B14" s="32" t="s">
        <v>341</v>
      </c>
      <c r="C14" s="48" t="n">
        <f aca="false">'Monthly Engine'!C40</f>
        <v>48000</v>
      </c>
      <c r="D14" s="48" t="n">
        <f aca="false">'Monthly Engine'!D40</f>
        <v>48000</v>
      </c>
      <c r="E14" s="48" t="n">
        <f aca="false">'Monthly Engine'!E40</f>
        <v>48000</v>
      </c>
      <c r="F14" s="48" t="n">
        <f aca="false">'Monthly Engine'!F40</f>
        <v>96000</v>
      </c>
      <c r="G14" s="48" t="n">
        <f aca="false">'Monthly Engine'!G40</f>
        <v>96000</v>
      </c>
      <c r="H14" s="48" t="n">
        <f aca="false">'Monthly Engine'!H40</f>
        <v>96000</v>
      </c>
      <c r="I14" s="48" t="n">
        <f aca="false">'Monthly Engine'!I40</f>
        <v>96000</v>
      </c>
      <c r="J14" s="48" t="n">
        <f aca="false">'Monthly Engine'!J40</f>
        <v>96000</v>
      </c>
      <c r="K14" s="48" t="n">
        <f aca="false">'Monthly Engine'!K40</f>
        <v>96000</v>
      </c>
      <c r="L14" s="48" t="n">
        <f aca="false">'Monthly Engine'!L40</f>
        <v>96000</v>
      </c>
      <c r="M14" s="48" t="n">
        <f aca="false">'Monthly Engine'!M40</f>
        <v>144000</v>
      </c>
      <c r="N14" s="48" t="n">
        <f aca="false">'Monthly Engine'!N40</f>
        <v>144000</v>
      </c>
    </row>
    <row r="15" customFormat="false" ht="15" hidden="false" customHeight="true" outlineLevel="0" collapsed="false">
      <c r="B15" s="32" t="s">
        <v>342</v>
      </c>
      <c r="C15" s="48" t="n">
        <f aca="false">'Monthly Engine'!C41</f>
        <v>46387.2442648484</v>
      </c>
      <c r="D15" s="48" t="n">
        <f aca="false">'Monthly Engine'!D41</f>
        <v>45637.5317883338</v>
      </c>
      <c r="E15" s="48" t="n">
        <f aca="false">'Monthly Engine'!E41</f>
        <v>44415.3810331091</v>
      </c>
      <c r="F15" s="48" t="n">
        <f aca="false">'Monthly Engine'!F41</f>
        <v>90959.3562400047</v>
      </c>
      <c r="G15" s="48" t="n">
        <f aca="false">'Monthly Engine'!G41</f>
        <v>89900.4815261215</v>
      </c>
      <c r="H15" s="48" t="n">
        <f aca="false">'Monthly Engine'!H41</f>
        <v>89541.1048044861</v>
      </c>
      <c r="I15" s="48" t="n">
        <f aca="false">'Monthly Engine'!I41</f>
        <v>88337.5402806501</v>
      </c>
      <c r="J15" s="48" t="n">
        <f aca="false">'Monthly Engine'!J41</f>
        <v>87366.5296866711</v>
      </c>
      <c r="K15" s="48" t="n">
        <f aca="false">'Monthly Engine'!K41</f>
        <v>85393.6362059465</v>
      </c>
      <c r="L15" s="48" t="n">
        <f aca="false">'Monthly Engine'!L41</f>
        <v>82338.1986460377</v>
      </c>
      <c r="M15" s="48" t="n">
        <f aca="false">'Monthly Engine'!M41</f>
        <v>127584.070948387</v>
      </c>
      <c r="N15" s="48" t="n">
        <f aca="false">'Monthly Engine'!N41</f>
        <v>125523.549580284</v>
      </c>
    </row>
    <row r="16" customFormat="false" ht="15" hidden="false" customHeight="true" outlineLevel="0" collapsed="false">
      <c r="B16" s="47" t="s">
        <v>343</v>
      </c>
      <c r="C16" s="49" t="n">
        <f aca="false">C13/C14</f>
        <v>0.0335990778156583</v>
      </c>
      <c r="D16" s="49" t="n">
        <f aca="false">D13/D14</f>
        <v>0.0492180877430456</v>
      </c>
      <c r="E16" s="49" t="n">
        <f aca="false">E13/E14</f>
        <v>0.074679561810227</v>
      </c>
      <c r="F16" s="49" t="n">
        <f aca="false">F13/F14</f>
        <v>0.0525067058332847</v>
      </c>
      <c r="G16" s="49" t="n">
        <f aca="false">G13/G14</f>
        <v>0.0635366507695677</v>
      </c>
      <c r="H16" s="49" t="n">
        <f aca="false">H13/H14</f>
        <v>0.0672801582866031</v>
      </c>
      <c r="I16" s="49" t="n">
        <f aca="false">I13/I14</f>
        <v>0.0798172887432281</v>
      </c>
      <c r="J16" s="49" t="n">
        <f aca="false">J13/J14</f>
        <v>0.0899319824305095</v>
      </c>
      <c r="K16" s="49" t="n">
        <f aca="false">K13/K14</f>
        <v>0.110482956188058</v>
      </c>
      <c r="L16" s="49" t="n">
        <f aca="false">L13/L14</f>
        <v>0.142310430770441</v>
      </c>
      <c r="M16" s="49" t="n">
        <f aca="false">M13/M14</f>
        <v>0.113999507302868</v>
      </c>
      <c r="N16" s="49" t="n">
        <f aca="false">N13/N14</f>
        <v>0.128308683470251</v>
      </c>
    </row>
    <row r="18" customFormat="false" ht="15" hidden="false" customHeight="true" outlineLevel="0" collapsed="false">
      <c r="B18" s="32" t="s">
        <v>344</v>
      </c>
      <c r="C18" s="48" t="n">
        <f aca="false">'Monthly Engine'!C50</f>
        <v>109880.689942377</v>
      </c>
      <c r="D18" s="48" t="n">
        <f aca="false">'Monthly Engine'!D50</f>
        <v>148951.512961307</v>
      </c>
      <c r="E18" s="48" t="n">
        <f aca="false">'Monthly Engine'!E50</f>
        <v>215672.495013725</v>
      </c>
      <c r="F18" s="48" t="n">
        <f aca="false">'Monthly Engine'!F50</f>
        <v>293981.469040239</v>
      </c>
      <c r="G18" s="48" t="n">
        <f aca="false">'Monthly Engine'!G50</f>
        <v>351809.024742932</v>
      </c>
      <c r="H18" s="48" t="n">
        <f aca="false">'Monthly Engine'!H50</f>
        <v>372719.564321073</v>
      </c>
      <c r="I18" s="48" t="n">
        <f aca="false">'Monthly Engine'!I50</f>
        <v>439632.246911515</v>
      </c>
      <c r="J18" s="48" t="n">
        <f aca="false">'Monthly Engine'!J50</f>
        <v>495490.103091929</v>
      </c>
      <c r="K18" s="48" t="n">
        <f aca="false">'Monthly Engine'!K50</f>
        <v>607874.259075109</v>
      </c>
      <c r="L18" s="48" t="n">
        <f aca="false">'Monthly Engine'!L50</f>
        <v>782258.693864313</v>
      </c>
      <c r="M18" s="48" t="n">
        <f aca="false">'Monthly Engine'!M50</f>
        <v>947886.742494567</v>
      </c>
      <c r="N18" s="48" t="n">
        <f aca="false">'Monthly Engine'!N50</f>
        <v>1079465.84084345</v>
      </c>
    </row>
    <row r="19" customFormat="false" ht="15" hidden="false" customHeight="true" outlineLevel="0" collapsed="false">
      <c r="B19" s="32" t="s">
        <v>345</v>
      </c>
      <c r="C19" s="51" t="n">
        <f aca="false">'Monthly Engine'!C51</f>
        <v>0.509553679131484</v>
      </c>
      <c r="D19" s="51" t="n">
        <f aca="false">'Monthly Engine'!D51</f>
        <v>0.49542442785196</v>
      </c>
      <c r="E19" s="51" t="n">
        <f aca="false">'Monthly Engine'!E51</f>
        <v>0.486854306264299</v>
      </c>
      <c r="F19" s="51" t="n">
        <f aca="false">'Monthly Engine'!F51</f>
        <v>0.48208381243159</v>
      </c>
      <c r="G19" s="51" t="n">
        <f aca="false">'Monthly Engine'!G51</f>
        <v>0.482059642918678</v>
      </c>
      <c r="H19" s="51" t="n">
        <f aca="false">'Monthly Engine'!H51</f>
        <v>0.484835773624056</v>
      </c>
      <c r="I19" s="51" t="n">
        <f aca="false">'Monthly Engine'!I51</f>
        <v>0.486141487158764</v>
      </c>
      <c r="J19" s="51" t="n">
        <f aca="false">'Monthly Engine'!J51</f>
        <v>0.488919000956573</v>
      </c>
      <c r="K19" s="51" t="n">
        <f aca="false">'Monthly Engine'!K51</f>
        <v>0.491296393961234</v>
      </c>
      <c r="L19" s="51" t="n">
        <f aca="false">'Monthly Engine'!L51</f>
        <v>0.493786637066026</v>
      </c>
      <c r="M19" s="51" t="n">
        <f aca="false">'Monthly Engine'!M51</f>
        <v>0.498598612639759</v>
      </c>
      <c r="N19" s="51" t="n">
        <f aca="false">'Monthly Engine'!N51</f>
        <v>0.504279445483863</v>
      </c>
    </row>
    <row r="20" customFormat="false" ht="15" hidden="false" customHeight="true" outlineLevel="0" collapsed="false">
      <c r="B20" s="32" t="s">
        <v>346</v>
      </c>
      <c r="C20" s="48" t="n">
        <f aca="false">'Monthly Engine'!C57</f>
        <v>-17619.3100576228</v>
      </c>
      <c r="D20" s="48" t="n">
        <f aca="false">'Monthly Engine'!D57</f>
        <v>15551.5129613069</v>
      </c>
      <c r="E20" s="48" t="n">
        <f aca="false">'Monthly Engine'!E57</f>
        <v>76084.9950137254</v>
      </c>
      <c r="F20" s="48" t="n">
        <f aca="false">'Monthly Engine'!F57</f>
        <v>147904.594040239</v>
      </c>
      <c r="G20" s="48" t="n">
        <f aca="false">'Monthly Engine'!G57</f>
        <v>198925.805992932</v>
      </c>
      <c r="H20" s="48" t="n">
        <f aca="false">'Monthly Engine'!H57</f>
        <v>212697.184633573</v>
      </c>
      <c r="I20" s="48" t="n">
        <f aca="false">'Monthly Engine'!I57</f>
        <v>272121.24823964</v>
      </c>
      <c r="J20" s="48" t="n">
        <f aca="false">'Monthly Engine'!J57</f>
        <v>320123.554486461</v>
      </c>
      <c r="K20" s="48" t="n">
        <f aca="false">'Monthly Engine'!K57</f>
        <v>424266.883039367</v>
      </c>
      <c r="L20" s="48" t="n">
        <f aca="false">'Monthly Engine'!L57</f>
        <v>590005.949026784</v>
      </c>
      <c r="M20" s="48" t="n">
        <f aca="false">'Monthly Engine'!M57</f>
        <v>724439.558483033</v>
      </c>
      <c r="N20" s="48" t="n">
        <f aca="false">'Monthly Engine'!N57</f>
        <v>822757.107390075</v>
      </c>
    </row>
    <row r="21" customFormat="false" ht="15" hidden="false" customHeight="true" outlineLevel="0" collapsed="false">
      <c r="B21" s="32" t="s">
        <v>251</v>
      </c>
      <c r="C21" s="48" t="n">
        <f aca="false">'Monthly Engine'!C60</f>
        <v>-163119.310057623</v>
      </c>
      <c r="D21" s="48" t="n">
        <f aca="false">'Monthly Engine'!D60</f>
        <v>-129948.487038693</v>
      </c>
      <c r="E21" s="48" t="n">
        <f aca="false">'Monthly Engine'!E60</f>
        <v>-109415.004986275</v>
      </c>
      <c r="F21" s="48" t="n">
        <f aca="false">'Monthly Engine'!F60</f>
        <v>-37595.4059597605</v>
      </c>
      <c r="G21" s="48" t="n">
        <f aca="false">'Monthly Engine'!G60</f>
        <v>13425.8059929315</v>
      </c>
      <c r="H21" s="48" t="n">
        <f aca="false">'Monthly Engine'!H60</f>
        <v>-7802.81536642707</v>
      </c>
      <c r="I21" s="48" t="n">
        <f aca="false">'Monthly Engine'!I60</f>
        <v>51621.2482396403</v>
      </c>
      <c r="J21" s="48" t="n">
        <f aca="false">'Monthly Engine'!J60</f>
        <v>99623.5544864607</v>
      </c>
      <c r="K21" s="48" t="n">
        <f aca="false">'Monthly Engine'!K60</f>
        <v>163766.883039367</v>
      </c>
      <c r="L21" s="48" t="n">
        <f aca="false">'Monthly Engine'!L60</f>
        <v>329505.949026784</v>
      </c>
      <c r="M21" s="48" t="n">
        <f aca="false">'Monthly Engine'!M60</f>
        <v>463939.558483033</v>
      </c>
      <c r="N21" s="48" t="n">
        <f aca="false">'Monthly Engine'!N60</f>
        <v>562257.107390075</v>
      </c>
    </row>
    <row r="22" customFormat="false" ht="15" hidden="false" customHeight="true" outlineLevel="0" collapsed="false">
      <c r="B22" s="47" t="s">
        <v>347</v>
      </c>
      <c r="C22" s="49" t="n">
        <f aca="false">C21/C4</f>
        <v>-0.756439048761334</v>
      </c>
      <c r="D22" s="49" t="n">
        <f aca="false">D21/D4</f>
        <v>-0.432218871506838</v>
      </c>
      <c r="E22" s="49" t="n">
        <f aca="false">E21/E4</f>
        <v>-0.246991005246671</v>
      </c>
      <c r="F22" s="49" t="n">
        <f aca="false">F21/F4</f>
        <v>-0.061650609115481</v>
      </c>
      <c r="G22" s="49" t="n">
        <f aca="false">G21/G4</f>
        <v>0.0183964559964804</v>
      </c>
      <c r="H22" s="49" t="n">
        <f aca="false">H21/H4</f>
        <v>-0.0101499475390255</v>
      </c>
      <c r="I22" s="49" t="n">
        <f aca="false">I21/I4</f>
        <v>0.0570823240663267</v>
      </c>
      <c r="J22" s="49" t="n">
        <f aca="false">J21/J4</f>
        <v>0.0983023645221551</v>
      </c>
      <c r="K22" s="49" t="n">
        <f aca="false">K21/K4</f>
        <v>0.132359740335</v>
      </c>
      <c r="L22" s="49" t="n">
        <f aca="false">L21/L4</f>
        <v>0.207994664347453</v>
      </c>
      <c r="M22" s="49" t="n">
        <f aca="false">M21/M4</f>
        <v>0.244037193303891</v>
      </c>
      <c r="N22" s="49" t="n">
        <f aca="false">N21/N4</f>
        <v>0.262662042286103</v>
      </c>
    </row>
    <row r="24" customFormat="false" ht="15" hidden="false" customHeight="true" outlineLevel="0" collapsed="false">
      <c r="B24" s="32" t="s">
        <v>348</v>
      </c>
      <c r="C24" s="48" t="n">
        <f aca="false">'Monthly Engine'!C64</f>
        <v>0</v>
      </c>
      <c r="D24" s="48" t="n">
        <f aca="false">'Monthly Engine'!D64</f>
        <v>600000</v>
      </c>
      <c r="E24" s="48" t="n">
        <f aca="false">'Monthly Engine'!E64</f>
        <v>0</v>
      </c>
      <c r="F24" s="48" t="n">
        <f aca="false">'Monthly Engine'!F64</f>
        <v>0</v>
      </c>
      <c r="G24" s="48" t="n">
        <f aca="false">'Monthly Engine'!G64</f>
        <v>0</v>
      </c>
      <c r="H24" s="48" t="n">
        <f aca="false">'Monthly Engine'!H64</f>
        <v>0</v>
      </c>
      <c r="I24" s="48" t="n">
        <f aca="false">'Monthly Engine'!I64</f>
        <v>0</v>
      </c>
      <c r="J24" s="48" t="n">
        <f aca="false">'Monthly Engine'!J64</f>
        <v>600000</v>
      </c>
      <c r="K24" s="48" t="n">
        <f aca="false">'Monthly Engine'!K64</f>
        <v>0</v>
      </c>
      <c r="L24" s="48" t="n">
        <f aca="false">'Monthly Engine'!L64</f>
        <v>0</v>
      </c>
      <c r="M24" s="48" t="n">
        <f aca="false">'Monthly Engine'!M64</f>
        <v>0</v>
      </c>
      <c r="N24" s="48" t="n">
        <f aca="false">'Monthly Engine'!N64</f>
        <v>0</v>
      </c>
    </row>
    <row r="25" customFormat="false" ht="15" hidden="false" customHeight="true" outlineLevel="0" collapsed="false">
      <c r="B25" s="32" t="s">
        <v>255</v>
      </c>
      <c r="C25" s="48" t="n">
        <f aca="false">'Monthly Engine'!C65</f>
        <v>0</v>
      </c>
      <c r="D25" s="48" t="n">
        <f aca="false">'Monthly Engine'!D65</f>
        <v>0</v>
      </c>
      <c r="E25" s="48" t="n">
        <f aca="false">'Monthly Engine'!E65</f>
        <v>0</v>
      </c>
      <c r="F25" s="48" t="n">
        <f aca="false">'Monthly Engine'!F65</f>
        <v>0</v>
      </c>
      <c r="G25" s="48" t="n">
        <f aca="false">'Monthly Engine'!G65</f>
        <v>0</v>
      </c>
      <c r="H25" s="48" t="n">
        <f aca="false">'Monthly Engine'!H65</f>
        <v>0</v>
      </c>
      <c r="I25" s="48" t="n">
        <f aca="false">'Monthly Engine'!I65</f>
        <v>0</v>
      </c>
      <c r="J25" s="48" t="n">
        <f aca="false">'Monthly Engine'!J65</f>
        <v>0</v>
      </c>
      <c r="K25" s="48" t="n">
        <f aca="false">'Monthly Engine'!K65</f>
        <v>0</v>
      </c>
      <c r="L25" s="48" t="n">
        <f aca="false">'Monthly Engine'!L65</f>
        <v>0</v>
      </c>
      <c r="M25" s="48" t="n">
        <f aca="false">'Monthly Engine'!M65</f>
        <v>0</v>
      </c>
      <c r="N25" s="48" t="n">
        <f aca="false">'Monthly Engine'!N65</f>
        <v>0</v>
      </c>
    </row>
    <row r="26" customFormat="false" ht="15" hidden="false" customHeight="true" outlineLevel="0" collapsed="false">
      <c r="B26" s="32" t="s">
        <v>257</v>
      </c>
      <c r="C26" s="48" t="n">
        <f aca="false">'Monthly Engine'!C67</f>
        <v>2964301.19520819</v>
      </c>
      <c r="D26" s="48" t="n">
        <f aca="false">'Monthly Engine'!D67</f>
        <v>2216086.53349657</v>
      </c>
      <c r="E26" s="48" t="n">
        <f aca="false">'Monthly Engine'!E67</f>
        <v>2079200.31224585</v>
      </c>
      <c r="F26" s="48" t="n">
        <f aca="false">'Monthly Engine'!F67</f>
        <v>2003318.92572722</v>
      </c>
      <c r="G26" s="48" t="n">
        <f aca="false">'Monthly Engine'!G67</f>
        <v>1970831.99266223</v>
      </c>
      <c r="H26" s="48" t="n">
        <f aca="false">'Monthly Engine'!H67</f>
        <v>1914851.69086017</v>
      </c>
      <c r="I26" s="48" t="n">
        <f aca="false">'Monthly Engine'!I67</f>
        <v>1909840.39590135</v>
      </c>
      <c r="J26" s="48" t="n">
        <f aca="false">'Monthly Engine'!J67</f>
        <v>1346243.40186611</v>
      </c>
      <c r="K26" s="48" t="n">
        <f aca="false">'Monthly Engine'!K67</f>
        <v>1433065.93665407</v>
      </c>
      <c r="L26" s="48" t="n">
        <f aca="false">'Monthly Engine'!L67</f>
        <v>1664393.21322352</v>
      </c>
      <c r="M26" s="48" t="n">
        <f aca="false">'Monthly Engine'!M67</f>
        <v>2011481.2040028</v>
      </c>
      <c r="N26" s="48" t="n">
        <f aca="false">'Monthly Engine'!N67</f>
        <v>2443479.33593387</v>
      </c>
    </row>
    <row r="27" customFormat="false" ht="15" hidden="false" customHeight="true" outlineLevel="0" collapsed="false">
      <c r="B27" s="32" t="s">
        <v>349</v>
      </c>
      <c r="C27" s="52" t="str">
        <f aca="false">'Monthly Engine'!C68</f>
        <v>ok</v>
      </c>
      <c r="D27" s="52" t="str">
        <f aca="false">'Monthly Engine'!D68</f>
        <v>ok</v>
      </c>
      <c r="E27" s="52" t="str">
        <f aca="false">'Monthly Engine'!E68</f>
        <v>ok</v>
      </c>
      <c r="F27" s="52" t="str">
        <f aca="false">'Monthly Engine'!F68</f>
        <v>ok</v>
      </c>
      <c r="G27" s="52" t="str">
        <f aca="false">'Monthly Engine'!G68</f>
        <v>ok</v>
      </c>
      <c r="H27" s="52" t="str">
        <f aca="false">'Monthly Engine'!H68</f>
        <v>ok</v>
      </c>
      <c r="I27" s="52" t="str">
        <f aca="false">'Monthly Engine'!I68</f>
        <v>ok</v>
      </c>
      <c r="J27" s="52" t="str">
        <f aca="false">'Monthly Engine'!J68</f>
        <v>ok</v>
      </c>
      <c r="K27" s="52" t="str">
        <f aca="false">'Monthly Engine'!K68</f>
        <v>ok</v>
      </c>
      <c r="L27" s="52" t="str">
        <f aca="false">'Monthly Engine'!L68</f>
        <v>ok</v>
      </c>
      <c r="M27" s="52" t="str">
        <f aca="false">'Monthly Engine'!M68</f>
        <v>ok</v>
      </c>
      <c r="N27" s="52" t="str">
        <f aca="false">'Monthly Engine'!N68</f>
        <v>ok</v>
      </c>
    </row>
    <row r="30" customFormat="false" ht="15" hidden="false" customHeight="true" outlineLevel="0" collapsed="false">
      <c r="B30" s="8" t="s">
        <v>350</v>
      </c>
    </row>
    <row r="31" customFormat="false" ht="15" hidden="false" customHeight="true" outlineLevel="0" collapsed="false">
      <c r="B31" s="1" t="s">
        <v>351</v>
      </c>
      <c r="C31" s="53" t="n">
        <f aca="false">C4/100000</f>
        <v>2.15641049103335</v>
      </c>
      <c r="D31" s="53" t="n">
        <f aca="false">D4/100000</f>
        <v>3.00654357329784</v>
      </c>
      <c r="E31" s="53" t="n">
        <f aca="false">E4/100000</f>
        <v>4.42991860683354</v>
      </c>
      <c r="F31" s="53" t="n">
        <f aca="false">F4/100000</f>
        <v>6.09814022913198</v>
      </c>
      <c r="G31" s="53" t="n">
        <f aca="false">G4/100000</f>
        <v>7.29803935904838</v>
      </c>
      <c r="H31" s="53" t="n">
        <f aca="false">H4/100000</f>
        <v>7.68754255765956</v>
      </c>
      <c r="I31" s="53" t="n">
        <f aca="false">I4/100000</f>
        <v>9.04329826859521</v>
      </c>
      <c r="J31" s="53" t="n">
        <f aca="false">J4/100000</f>
        <v>10.1344006291942</v>
      </c>
      <c r="K31" s="53" t="n">
        <f aca="false">K4/100000</f>
        <v>12.3728622181394</v>
      </c>
      <c r="L31" s="53" t="n">
        <f aca="false">L4/100000</f>
        <v>15.8420385475056</v>
      </c>
      <c r="M31" s="53" t="n">
        <f aca="false">M4/100000</f>
        <v>19.0110184518187</v>
      </c>
      <c r="N31" s="53" t="n">
        <f aca="false">N4/100000</f>
        <v>21.4061043040867</v>
      </c>
    </row>
    <row r="32" customFormat="false" ht="15" hidden="false" customHeight="true" outlineLevel="0" collapsed="false">
      <c r="B32" s="1" t="s">
        <v>352</v>
      </c>
      <c r="C32" s="54" t="n">
        <v>100</v>
      </c>
      <c r="D32" s="54" t="n">
        <v>100</v>
      </c>
      <c r="E32" s="54" t="n">
        <v>100</v>
      </c>
      <c r="F32" s="54" t="n">
        <v>100</v>
      </c>
      <c r="G32" s="54" t="n">
        <v>100</v>
      </c>
      <c r="H32" s="54" t="n">
        <v>100</v>
      </c>
      <c r="I32" s="54" t="n">
        <v>100</v>
      </c>
      <c r="J32" s="54" t="n">
        <v>100</v>
      </c>
      <c r="K32" s="54" t="n">
        <v>100</v>
      </c>
      <c r="L32" s="54" t="n">
        <v>100</v>
      </c>
      <c r="M32" s="54" t="n">
        <v>100</v>
      </c>
      <c r="N32" s="54" t="n">
        <v>100</v>
      </c>
    </row>
  </sheetData>
  <mergeCells count="1">
    <mergeCell ref="B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M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13" min="2" style="1" width="11"/>
  </cols>
  <sheetData>
    <row r="1" customFormat="false" ht="15.75" hidden="false" customHeight="true" outlineLevel="0" collapsed="false">
      <c r="A1" s="18" t="s">
        <v>353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customFormat="false" ht="15" hidden="false" customHeight="true" outlineLevel="0" collapsed="false">
      <c r="A2" s="30" t="s">
        <v>354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4" customFormat="false" ht="15" hidden="false" customHeight="true" outlineLevel="0" collapsed="false">
      <c r="A4" s="3" t="s">
        <v>355</v>
      </c>
    </row>
    <row r="5" customFormat="false" ht="15" hidden="false" customHeight="true" outlineLevel="0" collapsed="false">
      <c r="A5" s="19" t="s">
        <v>356</v>
      </c>
      <c r="B5" s="55" t="s">
        <v>357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</row>
    <row r="6" customFormat="false" ht="15" hidden="false" customHeight="true" outlineLevel="0" collapsed="false">
      <c r="A6" s="19" t="s">
        <v>358</v>
      </c>
      <c r="B6" s="55" t="s">
        <v>359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</row>
    <row r="7" customFormat="false" ht="15" hidden="false" customHeight="true" outlineLevel="0" collapsed="false">
      <c r="A7" s="19" t="s">
        <v>360</v>
      </c>
      <c r="B7" s="55" t="s">
        <v>361</v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</row>
    <row r="8" customFormat="false" ht="15" hidden="false" customHeight="true" outlineLevel="0" collapsed="false">
      <c r="A8" s="19" t="s">
        <v>362</v>
      </c>
      <c r="B8" s="55" t="s">
        <v>363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</row>
    <row r="9" customFormat="false" ht="15" hidden="false" customHeight="true" outlineLevel="0" collapsed="false">
      <c r="A9" s="19" t="s">
        <v>364</v>
      </c>
      <c r="B9" s="55" t="s">
        <v>365</v>
      </c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</row>
    <row r="10" customFormat="false" ht="15" hidden="false" customHeight="true" outlineLevel="0" collapsed="false">
      <c r="A10" s="19" t="s">
        <v>366</v>
      </c>
      <c r="B10" s="55" t="s">
        <v>367</v>
      </c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</row>
    <row r="12" customFormat="false" ht="15" hidden="false" customHeight="true" outlineLevel="0" collapsed="false">
      <c r="A12" s="3" t="s">
        <v>368</v>
      </c>
    </row>
    <row r="13" customFormat="false" ht="15" hidden="false" customHeight="true" outlineLevel="0" collapsed="false">
      <c r="A13" s="56"/>
      <c r="B13" s="56" t="s">
        <v>16</v>
      </c>
      <c r="C13" s="56" t="s">
        <v>20</v>
      </c>
      <c r="D13" s="56" t="s">
        <v>21</v>
      </c>
    </row>
    <row r="14" customFormat="false" ht="15" hidden="false" customHeight="true" outlineLevel="0" collapsed="false">
      <c r="A14" s="32" t="s">
        <v>369</v>
      </c>
      <c r="B14" s="57" t="n">
        <v>2140610.43040867</v>
      </c>
      <c r="C14" s="57" t="n">
        <v>4334183.43463902</v>
      </c>
      <c r="D14" s="57" t="n">
        <v>549281.596158868</v>
      </c>
    </row>
    <row r="15" customFormat="false" ht="15" hidden="false" customHeight="true" outlineLevel="0" collapsed="false">
      <c r="A15" s="32" t="s">
        <v>370</v>
      </c>
      <c r="B15" s="58" t="n">
        <v>8.52011379629469</v>
      </c>
      <c r="C15" s="58" t="n">
        <v>17.2510306184437</v>
      </c>
      <c r="D15" s="58" t="n">
        <v>2.18626502001603</v>
      </c>
    </row>
    <row r="16" customFormat="false" ht="15" hidden="false" customHeight="true" outlineLevel="0" collapsed="false">
      <c r="A16" s="32" t="s">
        <v>371</v>
      </c>
      <c r="B16" s="59" t="n">
        <v>0.214061043040867</v>
      </c>
      <c r="C16" s="59" t="n">
        <v>0.433418343463902</v>
      </c>
      <c r="D16" s="59" t="n">
        <v>0.0549281596158868</v>
      </c>
    </row>
    <row r="17" customFormat="false" ht="15" hidden="false" customHeight="true" outlineLevel="0" collapsed="false">
      <c r="A17" s="32" t="s">
        <v>372</v>
      </c>
      <c r="B17" s="57" t="n">
        <v>1346243.40186611</v>
      </c>
      <c r="C17" s="57" t="n">
        <v>1841449.8006095</v>
      </c>
      <c r="D17" s="57" t="n">
        <v>1148818.46553557</v>
      </c>
    </row>
    <row r="18" customFormat="false" ht="15" hidden="false" customHeight="true" outlineLevel="0" collapsed="false">
      <c r="A18" s="32" t="s">
        <v>373</v>
      </c>
      <c r="B18" s="57" t="n">
        <v>18476.4504197162</v>
      </c>
      <c r="C18" s="57" t="n">
        <v>35393.618469031</v>
      </c>
      <c r="D18" s="57" t="n">
        <v>5080.28032110755</v>
      </c>
    </row>
    <row r="19" customFormat="false" ht="15" hidden="false" customHeight="true" outlineLevel="0" collapsed="false">
      <c r="A19" s="32" t="s">
        <v>374</v>
      </c>
      <c r="B19" s="57" t="n">
        <v>144000</v>
      </c>
      <c r="C19" s="57" t="n">
        <v>144000</v>
      </c>
      <c r="D19" s="57" t="n">
        <v>48000</v>
      </c>
    </row>
    <row r="22" customFormat="false" ht="15" hidden="false" customHeight="true" outlineLevel="0" collapsed="false">
      <c r="A22" s="3" t="s">
        <v>375</v>
      </c>
    </row>
    <row r="23" customFormat="false" ht="15" hidden="false" customHeight="true" outlineLevel="0" collapsed="false">
      <c r="A23" s="3" t="s">
        <v>16</v>
      </c>
      <c r="B23" s="53" t="n">
        <v>2.156</v>
      </c>
      <c r="C23" s="53" t="n">
        <v>3.007</v>
      </c>
      <c r="D23" s="53" t="n">
        <v>4.43</v>
      </c>
      <c r="E23" s="53" t="n">
        <v>6.098</v>
      </c>
      <c r="F23" s="53" t="n">
        <v>7.298</v>
      </c>
      <c r="G23" s="53" t="n">
        <v>7.688</v>
      </c>
      <c r="H23" s="53" t="n">
        <v>9.043</v>
      </c>
      <c r="I23" s="53" t="n">
        <v>10.134</v>
      </c>
      <c r="J23" s="53" t="n">
        <v>12.373</v>
      </c>
      <c r="K23" s="53" t="n">
        <v>15.842</v>
      </c>
      <c r="L23" s="53" t="n">
        <v>19.011</v>
      </c>
      <c r="M23" s="53" t="n">
        <v>21.406</v>
      </c>
    </row>
    <row r="24" customFormat="false" ht="15" hidden="false" customHeight="true" outlineLevel="0" collapsed="false">
      <c r="A24" s="3" t="s">
        <v>20</v>
      </c>
      <c r="B24" s="53" t="n">
        <v>2.644</v>
      </c>
      <c r="C24" s="53" t="n">
        <v>4.602</v>
      </c>
      <c r="D24" s="53" t="n">
        <v>7.082</v>
      </c>
      <c r="E24" s="53" t="n">
        <v>10.115</v>
      </c>
      <c r="F24" s="53" t="n">
        <v>12.449</v>
      </c>
      <c r="G24" s="53" t="n">
        <v>13.492</v>
      </c>
      <c r="H24" s="53" t="n">
        <v>16.271</v>
      </c>
      <c r="I24" s="53" t="n">
        <v>18.709</v>
      </c>
      <c r="J24" s="53" t="n">
        <v>23.292</v>
      </c>
      <c r="K24" s="53" t="n">
        <v>30.292</v>
      </c>
      <c r="L24" s="53" t="n">
        <v>37.227</v>
      </c>
      <c r="M24" s="53" t="n">
        <v>43.342</v>
      </c>
    </row>
    <row r="25" customFormat="false" ht="15" hidden="false" customHeight="true" outlineLevel="0" collapsed="false">
      <c r="A25" s="3" t="s">
        <v>21</v>
      </c>
      <c r="B25" s="53" t="n">
        <v>1.695</v>
      </c>
      <c r="C25" s="53" t="n">
        <v>1.74</v>
      </c>
      <c r="D25" s="53" t="n">
        <v>2.117</v>
      </c>
      <c r="E25" s="53" t="n">
        <v>2.526</v>
      </c>
      <c r="F25" s="53" t="n">
        <v>2.713</v>
      </c>
      <c r="G25" s="53" t="n">
        <v>2.617</v>
      </c>
      <c r="H25" s="53" t="n">
        <v>2.873</v>
      </c>
      <c r="I25" s="53" t="n">
        <v>3.041</v>
      </c>
      <c r="J25" s="53" t="n">
        <v>3.55</v>
      </c>
      <c r="K25" s="53" t="n">
        <v>4.382</v>
      </c>
      <c r="L25" s="53" t="n">
        <v>5.079</v>
      </c>
      <c r="M25" s="53" t="n">
        <v>5.493</v>
      </c>
    </row>
    <row r="26" customFormat="false" ht="15" hidden="false" customHeight="true" outlineLevel="0" collapsed="false">
      <c r="A26" s="1" t="s">
        <v>189</v>
      </c>
      <c r="B26" s="3" t="s">
        <v>190</v>
      </c>
      <c r="C26" s="3" t="s">
        <v>191</v>
      </c>
      <c r="D26" s="3" t="s">
        <v>192</v>
      </c>
      <c r="E26" s="3" t="s">
        <v>193</v>
      </c>
      <c r="F26" s="3" t="s">
        <v>194</v>
      </c>
      <c r="G26" s="3" t="s">
        <v>195</v>
      </c>
      <c r="H26" s="3" t="s">
        <v>196</v>
      </c>
      <c r="I26" s="3" t="s">
        <v>197</v>
      </c>
      <c r="J26" s="3" t="s">
        <v>198</v>
      </c>
      <c r="K26" s="3" t="s">
        <v>199</v>
      </c>
      <c r="L26" s="3" t="s">
        <v>200</v>
      </c>
      <c r="M26" s="3" t="s">
        <v>201</v>
      </c>
    </row>
    <row r="27" customFormat="false" ht="15" hidden="false" customHeight="true" outlineLevel="0" collapsed="false">
      <c r="A27" s="1" t="s">
        <v>376</v>
      </c>
      <c r="B27" s="1" t="n">
        <v>100</v>
      </c>
      <c r="C27" s="1" t="n">
        <v>100</v>
      </c>
      <c r="D27" s="1" t="n">
        <v>100</v>
      </c>
      <c r="E27" s="1" t="n">
        <v>100</v>
      </c>
      <c r="F27" s="1" t="n">
        <v>100</v>
      </c>
      <c r="G27" s="1" t="n">
        <v>100</v>
      </c>
      <c r="H27" s="1" t="n">
        <v>100</v>
      </c>
      <c r="I27" s="1" t="n">
        <v>100</v>
      </c>
      <c r="J27" s="1" t="n">
        <v>100</v>
      </c>
      <c r="K27" s="1" t="n">
        <v>100</v>
      </c>
      <c r="L27" s="1" t="n">
        <v>100</v>
      </c>
      <c r="M27" s="1" t="n">
        <v>100</v>
      </c>
    </row>
  </sheetData>
  <mergeCells count="8">
    <mergeCell ref="A1:M1"/>
    <mergeCell ref="A2:M2"/>
    <mergeCell ref="B5:M5"/>
    <mergeCell ref="B6:M6"/>
    <mergeCell ref="B7:M7"/>
    <mergeCell ref="B8:M8"/>
    <mergeCell ref="B9:M9"/>
    <mergeCell ref="B10:M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6" min="2" style="1" width="14"/>
  </cols>
  <sheetData>
    <row r="1" customFormat="false" ht="15.75" hidden="false" customHeight="true" outlineLevel="0" collapsed="false">
      <c r="A1" s="18" t="s">
        <v>377</v>
      </c>
      <c r="B1" s="18"/>
      <c r="C1" s="18"/>
      <c r="D1" s="18"/>
      <c r="E1" s="18"/>
    </row>
    <row r="2" customFormat="false" ht="15" hidden="false" customHeight="true" outlineLevel="0" collapsed="false">
      <c r="A2" s="30" t="s">
        <v>378</v>
      </c>
      <c r="B2" s="30"/>
      <c r="C2" s="30"/>
      <c r="D2" s="30"/>
      <c r="E2" s="30"/>
    </row>
    <row r="4" customFormat="false" ht="26.25" hidden="false" customHeight="true" outlineLevel="0" collapsed="false">
      <c r="A4" s="9" t="s">
        <v>379</v>
      </c>
      <c r="B4" s="9" t="s">
        <v>380</v>
      </c>
      <c r="C4" s="9" t="s">
        <v>381</v>
      </c>
      <c r="D4" s="9" t="s">
        <v>382</v>
      </c>
      <c r="E4" s="9" t="s">
        <v>383</v>
      </c>
    </row>
    <row r="5" customFormat="false" ht="15" hidden="false" customHeight="true" outlineLevel="0" collapsed="false">
      <c r="A5" s="32" t="s">
        <v>384</v>
      </c>
      <c r="B5" s="37" t="n">
        <v>2041077.57070264</v>
      </c>
      <c r="C5" s="37" t="n">
        <v>2362480.63105428</v>
      </c>
      <c r="D5" s="49" t="n">
        <v>-0.0464974188166634</v>
      </c>
      <c r="E5" s="49" t="n">
        <v>0.103648098455379</v>
      </c>
    </row>
    <row r="6" customFormat="false" ht="15" hidden="false" customHeight="true" outlineLevel="0" collapsed="false">
      <c r="A6" s="32" t="s">
        <v>385</v>
      </c>
      <c r="B6" s="37" t="n">
        <v>2076292.57593445</v>
      </c>
      <c r="C6" s="37" t="n">
        <v>2204928.28488288</v>
      </c>
      <c r="D6" s="49" t="n">
        <v>-0.0300465014841309</v>
      </c>
      <c r="E6" s="49" t="n">
        <v>0.030046501484126</v>
      </c>
    </row>
    <row r="7" customFormat="false" ht="15" hidden="false" customHeight="true" outlineLevel="0" collapsed="false">
      <c r="A7" s="32" t="s">
        <v>386</v>
      </c>
      <c r="B7" s="37" t="n">
        <v>2095635.48187641</v>
      </c>
      <c r="C7" s="37" t="n">
        <v>2188193.69973118</v>
      </c>
      <c r="D7" s="49" t="n">
        <v>-0.0210103379360222</v>
      </c>
      <c r="E7" s="49" t="n">
        <v>0.0222288318540173</v>
      </c>
    </row>
    <row r="8" customFormat="false" ht="15" hidden="false" customHeight="true" outlineLevel="0" collapsed="false">
      <c r="A8" s="32" t="s">
        <v>387</v>
      </c>
      <c r="B8" s="37" t="n">
        <v>2100466.09406003</v>
      </c>
      <c r="C8" s="37" t="n">
        <v>2180754.7667573</v>
      </c>
      <c r="D8" s="49" t="n">
        <v>-0.0187536862281738</v>
      </c>
      <c r="E8" s="49" t="n">
        <v>0.018753686228169</v>
      </c>
    </row>
    <row r="9" customFormat="false" ht="15" hidden="false" customHeight="true" outlineLevel="0" collapsed="false">
      <c r="A9" s="32" t="s">
        <v>388</v>
      </c>
      <c r="B9" s="37" t="n">
        <v>2110000.03013413</v>
      </c>
      <c r="C9" s="37" t="n">
        <v>2171955.05746082</v>
      </c>
      <c r="D9" s="49" t="n">
        <v>-0.0142998463614402</v>
      </c>
      <c r="E9" s="49" t="n">
        <v>0.0146428451468237</v>
      </c>
    </row>
    <row r="10" customFormat="false" ht="15" hidden="false" customHeight="true" outlineLevel="0" collapsed="false">
      <c r="A10" s="32" t="s">
        <v>389</v>
      </c>
      <c r="B10" s="37" t="n">
        <v>2115350.07247239</v>
      </c>
      <c r="C10" s="37" t="n">
        <v>2166426.4922767</v>
      </c>
      <c r="D10" s="49" t="n">
        <v>-0.0118005394991268</v>
      </c>
      <c r="E10" s="49" t="n">
        <v>0.0120601401830512</v>
      </c>
    </row>
    <row r="11" customFormat="false" ht="15" hidden="false" customHeight="true" outlineLevel="0" collapsed="false">
      <c r="A11" s="32" t="s">
        <v>390</v>
      </c>
      <c r="B11" s="37" t="n">
        <v>2145785.2665254</v>
      </c>
      <c r="C11" s="37" t="n">
        <v>2135478.17603182</v>
      </c>
      <c r="D11" s="49" t="n">
        <v>0.00241745814334924</v>
      </c>
      <c r="E11" s="49" t="n">
        <v>-0.00239756580830557</v>
      </c>
    </row>
    <row r="13" customFormat="false" ht="15" hidden="false" customHeight="true" outlineLevel="0" collapsed="false">
      <c r="A13" s="3" t="s">
        <v>391</v>
      </c>
    </row>
    <row r="14" customFormat="false" ht="15" hidden="false" customHeight="true" outlineLevel="0" collapsed="false">
      <c r="A14" s="19" t="s">
        <v>392</v>
      </c>
    </row>
    <row r="15" customFormat="false" ht="15" hidden="false" customHeight="true" outlineLevel="0" collapsed="false">
      <c r="A15" s="19" t="s">
        <v>393</v>
      </c>
    </row>
    <row r="16" customFormat="false" ht="15" hidden="false" customHeight="true" outlineLevel="0" collapsed="false">
      <c r="A16" s="19" t="s">
        <v>394</v>
      </c>
    </row>
    <row r="18" customFormat="false" ht="21.75" hidden="false" customHeight="true" outlineLevel="0" collapsed="false">
      <c r="A18" s="55" t="s">
        <v>395</v>
      </c>
      <c r="B18" s="55"/>
      <c r="C18" s="55"/>
      <c r="D18" s="55"/>
      <c r="E18" s="55"/>
    </row>
    <row r="19" customFormat="false" ht="21.75" hidden="false" customHeight="true" outlineLevel="0" collapsed="false">
      <c r="A19" s="55" t="s">
        <v>396</v>
      </c>
      <c r="B19" s="55"/>
      <c r="C19" s="55"/>
      <c r="D19" s="55"/>
      <c r="E19" s="55"/>
    </row>
    <row r="20" customFormat="false" ht="21.75" hidden="false" customHeight="true" outlineLevel="0" collapsed="false">
      <c r="A20" s="55" t="s">
        <v>397</v>
      </c>
      <c r="B20" s="55"/>
      <c r="C20" s="55"/>
      <c r="D20" s="55"/>
      <c r="E20" s="55"/>
    </row>
  </sheetData>
  <mergeCells count="5">
    <mergeCell ref="A1:E1"/>
    <mergeCell ref="A2:E2"/>
    <mergeCell ref="A18:E18"/>
    <mergeCell ref="A19:E19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2026-07-20T06:05:40Z</dcterms:created>
  <dc:creator>openpyxl</dc:creator>
  <dc:description/>
  <dc:language>en-US</dc:language>
  <cp:lastModifiedBy/>
  <dcterms:modified xsi:type="dcterms:W3CDTF">2026-07-20T06:21:52Z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